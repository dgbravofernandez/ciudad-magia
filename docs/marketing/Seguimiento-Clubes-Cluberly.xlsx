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guimiento" sheetId="1" r:id="rId1"/>
    <sheet name="Resumen" sheetId="2" r:id="rId2"/>
    <sheet name="Cómo usar" sheetId="3" r:id="rId3"/>
    <sheet name="Fuentes de clubes" sheetId="4" r:id="rId4"/>
  </sheets>
  <definedNames>
    <definedName name="_xlnm._FilterDatabase" localSheetId="0">'Seguimiento'!A1:N4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0.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cols>
    <col min="1" max="1" width="24.83203125" customWidth="1"/>
    <col min="2" max="2" width="16.83203125" customWidth="1"/>
    <col min="3" max="3" width="18.83203125" customWidth="1"/>
    <col min="4" max="4" width="14.83203125" customWidth="1"/>
    <col min="5" max="5" width="28.83203125" customWidth="1"/>
    <col min="6" max="6" width="13.83203125" customWidth="1"/>
    <col min="7" max="7" width="15.83203125" customWidth="1"/>
    <col min="8" max="8" width="16.83203125" customWidth="1"/>
    <col min="9" max="9" width="15.83203125" customWidth="1"/>
    <col min="10" max="10" width="18.83203125" customWidth="1"/>
    <col min="11" max="11" width="20.83203125" customWidth="1"/>
    <col min="12" max="12" width="16.83203125" customWidth="1"/>
    <col min="13" max="13" width="22.83203125" customWidth="1"/>
    <col min="14" max="14" width="30.83203125" customWidth="1"/>
  </cols>
  <sheetData>
    <row r="1">
      <c r="A1" t="str">
        <v>Club</v>
      </c>
      <c r="B1" t="str">
        <v>Federación / Liga</v>
      </c>
      <c r="C1" t="str">
        <v>Persona contacto</v>
      </c>
      <c r="D1" t="str">
        <v>Cargo</v>
      </c>
      <c r="E1" t="str">
        <v>Email</v>
      </c>
      <c r="F1" t="str">
        <v>Teléfono</v>
      </c>
      <c r="G1" t="str">
        <v>Estado</v>
      </c>
      <c r="H1" t="str">
        <v>Fecha 1er contacto</v>
      </c>
      <c r="I1" t="str">
        <v>Emails enviados</v>
      </c>
      <c r="J1" t="str">
        <v>Fecha último contacto</v>
      </c>
      <c r="K1" t="str">
        <v>Próxima acción</v>
      </c>
      <c r="L1" t="str">
        <v>Fecha próx. acción</v>
      </c>
      <c r="M1" t="str">
        <v>Resultado</v>
      </c>
      <c r="N1" t="str">
        <v>Notas</v>
      </c>
    </row>
    <row r="2">
      <c r="A2" t="str">
        <v>E.F. Ciudad de Getafe</v>
      </c>
      <c r="B2" t="str">
        <v>RFFM</v>
      </c>
      <c r="C2" t="str">
        <v>Diego</v>
      </c>
      <c r="D2" t="str">
        <v>Dirección</v>
      </c>
      <c r="E2" t="str">
        <v>info@efciudaddegetafe.com</v>
      </c>
      <c r="F2" t="str">
        <v/>
      </c>
      <c r="G2" t="str">
        <v>Cliente</v>
      </c>
      <c r="H2" t="str">
        <v/>
      </c>
      <c r="I2" t="str">
        <v/>
      </c>
      <c r="J2" t="str">
        <v/>
      </c>
      <c r="K2" t="str">
        <v>—</v>
      </c>
      <c r="L2" t="str">
        <v/>
      </c>
      <c r="M2" t="str">
        <v>Referencia / caso de éxito</v>
      </c>
      <c r="N2" t="str">
        <v>Cliente piloto</v>
      </c>
    </row>
    <row r="3">
      <c r="A3" t="str">
        <v>CD Ejemplo</v>
      </c>
      <c r="B3" t="str">
        <v>RFFM</v>
      </c>
      <c r="C3" t="str">
        <v>Nombre Apellido</v>
      </c>
      <c r="D3" t="str">
        <v>Secretario</v>
      </c>
      <c r="E3" t="str">
        <v>secretaria@cdejemplo.es</v>
      </c>
      <c r="F3" t="str">
        <v>600000000</v>
      </c>
      <c r="G3" t="str">
        <v>Email 1</v>
      </c>
      <c r="H3" t="str">
        <v>01/06/2026</v>
      </c>
      <c r="I3" t="str">
        <v>1</v>
      </c>
      <c r="J3" t="str">
        <v>01/06/2026</v>
      </c>
      <c r="K3" t="str">
        <v>Enviar Email 2</v>
      </c>
      <c r="L3" t="str">
        <v>04/06/2026</v>
      </c>
      <c r="M3" t="str">
        <v/>
      </c>
      <c r="N3" t="str">
        <v>Sin respuesta aún</v>
      </c>
    </row>
    <row r="4">
      <c r="A4" t="str">
        <v>Club Demo</v>
      </c>
      <c r="B4" t="str">
        <v>FFCM</v>
      </c>
      <c r="C4" t="str">
        <v/>
      </c>
      <c r="D4" t="str">
        <v>Presidente</v>
      </c>
      <c r="E4" t="str">
        <v>presi@clubdemo.es</v>
      </c>
      <c r="F4" t="str">
        <v/>
      </c>
      <c r="G4" t="str">
        <v>Nuevo</v>
      </c>
      <c r="H4" t="str">
        <v/>
      </c>
      <c r="I4" t="str">
        <v>0</v>
      </c>
      <c r="J4" t="str">
        <v/>
      </c>
      <c r="K4" t="str">
        <v>Enviar Email 1</v>
      </c>
      <c r="L4" t="str">
        <v/>
      </c>
      <c r="M4" t="str">
        <v/>
      </c>
      <c r="N4" t="str">
        <v/>
      </c>
    </row>
  </sheetData>
  <autoFilter ref="A1:N4"/>
  <ignoredErrors>
    <ignoredError numberStoredAsText="1" sqref="A1:N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cols>
    <col min="1" max="1" width="26.83203125" customWidth="1"/>
    <col min="2" max="2" width="12.83203125" customWidth="1"/>
  </cols>
  <sheetData>
    <row r="1">
      <c r="A1" t="str">
        <v>EMBUDO DE VENTAS</v>
      </c>
      <c r="B1" t="str">
        <v/>
      </c>
    </row>
    <row r="2">
      <c r="A2" t="str">
        <v/>
      </c>
      <c r="B2" t="str">
        <v/>
      </c>
    </row>
    <row r="3">
      <c r="A3" t="str">
        <v>Nuevo</v>
      </c>
      <c r="B3">
        <f>COUNTIF(Seguimiento!G:G,"Nuevo")</f>
        <v>0</v>
      </c>
    </row>
    <row r="4">
      <c r="A4" t="str">
        <v>Email 1</v>
      </c>
      <c r="B4">
        <f>COUNTIF(Seguimiento!G:G,"Email 1")</f>
        <v>0</v>
      </c>
    </row>
    <row r="5">
      <c r="A5" t="str">
        <v>Email 2</v>
      </c>
      <c r="B5">
        <f>COUNTIF(Seguimiento!G:G,"Email 2")</f>
        <v>0</v>
      </c>
    </row>
    <row r="6">
      <c r="A6" t="str">
        <v>Email 3</v>
      </c>
      <c r="B6">
        <f>COUNTIF(Seguimiento!G:G,"Email 3")</f>
        <v>0</v>
      </c>
    </row>
    <row r="7">
      <c r="A7" t="str">
        <v>Respondió</v>
      </c>
      <c r="B7">
        <f>COUNTIF(Seguimiento!G:G,"Respondió")</f>
        <v>0</v>
      </c>
    </row>
    <row r="8">
      <c r="A8" t="str">
        <v>Demo agendada</v>
      </c>
      <c r="B8">
        <f>COUNTIF(Seguimiento!G:G,"Demo agendada")</f>
        <v>0</v>
      </c>
    </row>
    <row r="9">
      <c r="A9" t="str">
        <v>En prueba</v>
      </c>
      <c r="B9">
        <f>COUNTIF(Seguimiento!G:G,"En prueba")</f>
        <v>0</v>
      </c>
    </row>
    <row r="10">
      <c r="A10" t="str">
        <v>Cliente</v>
      </c>
      <c r="B10">
        <f>COUNTIF(Seguimiento!G:G,"Cliente")</f>
        <v>0</v>
      </c>
    </row>
    <row r="11">
      <c r="A11" t="str">
        <v>Descartado</v>
      </c>
      <c r="B11">
        <f>COUNTIF(Seguimiento!G:G,"Descartado")</f>
        <v>0</v>
      </c>
    </row>
    <row r="12">
      <c r="A12" t="str">
        <v/>
      </c>
      <c r="B12" t="str">
        <v/>
      </c>
    </row>
    <row r="13">
      <c r="A13" t="str">
        <v>Total contactados</v>
      </c>
      <c r="B13">
        <f>COUNTA(Seguimiento!A2:A1000)</f>
        <v>0</v>
      </c>
    </row>
    <row r="14">
      <c r="A14" t="str">
        <v>Demos agendadas</v>
      </c>
      <c r="B14">
        <f>COUNTIF(Seguimiento!G:G,"Demo agendada")+COUNTIF(Seguimiento!G:G,"En prueba")+COUNTIF(Seguimiento!G:G,"Cliente")</f>
        <v>0</v>
      </c>
    </row>
    <row r="15">
      <c r="A15" t="str">
        <v>Clientes</v>
      </c>
      <c r="B15">
        <f>COUNTIF(Seguimiento!G:G,"Cliente")</f>
        <v>0</v>
      </c>
    </row>
    <row r="16">
      <c r="A16" t="str">
        <v/>
      </c>
      <c r="B16" t="str">
        <v/>
      </c>
    </row>
    <row r="17">
      <c r="A17" t="str">
        <v>Tasa contacto→demo</v>
      </c>
      <c r="B17" s="1">
        <f>IF(B13=0,0,(B14)/B13)</f>
        <v>0</v>
      </c>
    </row>
    <row r="18">
      <c r="A18" t="str">
        <v>Tasa demo→cliente</v>
      </c>
      <c r="B18" s="1">
        <f>IF(B14=0,0,B15/B14)</f>
        <v>0</v>
      </c>
    </row>
    <row r="19">
      <c r="A19" t="str">
        <v/>
      </c>
      <c r="B19" t="str">
        <v/>
      </c>
    </row>
    <row r="20">
      <c r="A20" t="str">
        <v>OBJETIVO</v>
      </c>
      <c r="B20">
        <v>20</v>
      </c>
    </row>
    <row r="21">
      <c r="A21" t="str">
        <v>Faltan para objetivo</v>
      </c>
      <c r="B21">
        <f>MAX(0,B20-B15)</f>
        <v>0</v>
      </c>
    </row>
  </sheetData>
  <ignoredErrors>
    <ignoredError numberStoredAsText="1" sqref="A1:B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24"/>
  <sheetViews>
    <sheetView workbookViewId="0"/>
  </sheetViews>
  <cols>
    <col min="1" max="1" width="95.83203125" customWidth="1"/>
  </cols>
  <sheetData>
    <row r="1">
      <c r="A1" t="str">
        <v>CÓMO USAR ESTE SEGUIMIENTO</v>
      </c>
    </row>
    <row r="2">
      <c r="A2" t="str">
        <v/>
      </c>
    </row>
    <row r="3">
      <c r="A3" t="str">
        <v>1) Sube tu lista de clubes a la hoja "Seguimiento" (una fila por club).</v>
      </c>
    </row>
    <row r="4">
      <c r="A4" t="str">
        <v>2) Cada vez que envías un email, actualiza la columna "Estado" y "Fecha último contacto".</v>
      </c>
    </row>
    <row r="5">
      <c r="A5" t="str">
        <v>3) La hoja "Resumen" calcula el embudo automáticamente.</v>
      </c>
    </row>
    <row r="6">
      <c r="A6" t="str">
        <v/>
      </c>
    </row>
    <row r="7">
      <c r="A7" t="str">
        <v>CADENCIA DE EMAILS (3 toques, paran al responder):</v>
      </c>
    </row>
    <row r="8">
      <c r="A8" t="str">
        <v xml:space="preserve">  · Día 0  → Email 1 (presentación + caso Ciudad de Getafe)</v>
      </c>
    </row>
    <row r="9">
      <c r="A9" t="str">
        <v xml:space="preserve">  · Día 3  → Email 2 (recordatorio corto + beneficio concreto)</v>
      </c>
    </row>
    <row r="10">
      <c r="A10" t="str">
        <v xml:space="preserve">  · Día 7  → Email 3 (último toque + oferta de demo de 20 min)</v>
      </c>
    </row>
    <row r="11">
      <c r="A11" t="str">
        <v/>
      </c>
    </row>
    <row r="12">
      <c r="A12" t="str">
        <v>ESTADOS POSIBLES (cópialos como desplegable):</v>
      </c>
    </row>
    <row r="13">
      <c r="A13" t="str">
        <v xml:space="preserve">  Nuevo  ·  Email 1  ·  Email 2  ·  Email 3  ·  Respondió  ·  Demo agendada  ·  En prueba  ·  Cliente  ·  Descartado</v>
      </c>
    </row>
    <row r="14">
      <c r="A14" t="str">
        <v/>
      </c>
    </row>
    <row r="15">
      <c r="A15" t="str">
        <v>AÑADIR DESPLEGABLE DE COLOR EN GOOGLE SHEETS (30 seg):</v>
      </c>
    </row>
    <row r="16">
      <c r="A16" t="str">
        <v xml:space="preserve">  a) Selecciona la columna G (Estado).</v>
      </c>
    </row>
    <row r="17">
      <c r="A17" t="str">
        <v xml:space="preserve">  b) Menú: Datos → Validación de datos → Añadir regla → "Lista de elementos".</v>
      </c>
    </row>
    <row r="18">
      <c r="A18" t="str">
        <v xml:space="preserve">  c) Pega los estados de arriba separados por comas.</v>
      </c>
    </row>
    <row r="19">
      <c r="A19" t="str">
        <v xml:space="preserve">  d) Activa "Mostrar como chips de colores" para ver el embudo de un vistazo.</v>
      </c>
    </row>
    <row r="20">
      <c r="A20" t="str">
        <v/>
      </c>
    </row>
    <row r="21">
      <c r="A21" t="str">
        <v>RUTINA SEMANAL (15 min/día):</v>
      </c>
    </row>
    <row r="22">
      <c r="A22" t="str">
        <v xml:space="preserve">  · Lunes: cargar 100 clubes nuevos + enviar Email 1.</v>
      </c>
    </row>
    <row r="23">
      <c r="A23" t="str">
        <v xml:space="preserve">  · Mar-Vie: enviar seguimientos (Email 2 y 3) según fechas.</v>
      </c>
    </row>
    <row r="24">
      <c r="A24" t="str">
        <v xml:space="preserve">  · Responder en &lt;2h a cualquiera que conteste → agendar demo.</v>
      </c>
    </row>
  </sheetData>
  <ignoredErrors>
    <ignoredError numberStoredAsText="1" sqref="A1:A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23"/>
  <sheetViews>
    <sheetView workbookViewId="0"/>
  </sheetViews>
  <cols>
    <col min="1" max="1" width="110.83203125" customWidth="1"/>
  </cols>
  <sheetData>
    <row r="1">
      <c r="A1" t="str">
        <v>DE DÓNDE SACAR 100-200 CLUBES REALES (CON WEB, EMAIL Y TELÉFONO)</v>
      </c>
    </row>
    <row r="2">
      <c r="A2" t="str">
        <v/>
      </c>
    </row>
    <row r="3">
      <c r="A3" t="str">
        <v>⚠️ No inventes correos ni teléfonos: rebotan, queman tu dominio y es spam. Usa solo datos verificados de estas fuentes.</v>
      </c>
    </row>
    <row r="4">
      <c r="A4" t="str">
        <v/>
      </c>
    </row>
    <row r="5">
      <c r="A5" t="str">
        <v>1) DIRECTORIOS DE FEDERACIONES (la mejor fuente — clubes federados con contacto)</v>
      </c>
    </row>
    <row r="6">
      <c r="A6" t="str">
        <v xml:space="preserve">   · Madrid (RFFM):  https://www.rffm.es/competiciones/directorio-de-clubs</v>
      </c>
    </row>
    <row r="7">
      <c r="A7" t="str">
        <v xml:space="preserve">   · Cada comunidad tiene su federación con su "directorio de clubes". Busca en Google:</v>
      </c>
    </row>
    <row r="8">
      <c r="A8" t="str">
        <v xml:space="preserve">        "directorio de clubes" + [tu federación]  (ej: FCF Cataluña, RFAF Andalucía, FFCV Valencia, FGF Galicia...)</v>
      </c>
    </row>
    <row r="9">
      <c r="A9" t="str">
        <v xml:space="preserve">   · Agregador nacional por federación:  https://www.futbol-regional.es</v>
      </c>
    </row>
    <row r="10">
      <c r="A10" t="str">
        <v/>
      </c>
    </row>
    <row r="11">
      <c r="A11" t="str">
        <v>2) GOOGLE MAPS (rápido y con teléfono + web públicos)</v>
      </c>
    </row>
    <row r="12">
      <c r="A12" t="str">
        <v xml:space="preserve">   · Busca: "club de fútbol" + provincia/ciudad  (ej: "club de futbol Getafe").</v>
      </c>
    </row>
    <row r="13">
      <c r="A13" t="str">
        <v xml:space="preserve">   · Cada ficha trae nombre, web y teléfono. El email suele estar en la web del club (sección Contacto).</v>
      </c>
    </row>
    <row r="14">
      <c r="A14" t="str">
        <v xml:space="preserve">   · Para exportar en bloque a CSV usa la extensión gratis de Chrome "Instant Data Scraper".</v>
      </c>
    </row>
    <row r="15">
      <c r="A15" t="str">
        <v/>
      </c>
    </row>
    <row r="16">
      <c r="A16" t="str">
        <v>3) RFEF / FUTBOL-NET</v>
      </c>
    </row>
    <row r="17">
      <c r="A17" t="str">
        <v xml:space="preserve">   · Las webs de competición listan los clubes de cada liga; entra a cada club para su contacto.</v>
      </c>
    </row>
    <row r="18">
      <c r="A18" t="str">
        <v/>
      </c>
    </row>
    <row r="19">
      <c r="A19" t="str">
        <v>FLUJO RECOMENDADO (≈1 hora para 100-200 clubes):</v>
      </c>
    </row>
    <row r="20">
      <c r="A20" t="str">
        <v xml:space="preserve">   a) Abre el directorio de tu federación + Google Maps de tu provincia.</v>
      </c>
    </row>
    <row r="21">
      <c r="A21" t="str">
        <v xml:space="preserve">   b) Copia a la hoja "Seguimiento": nombre, ubicación, web, email y teléfono (verificados).</v>
      </c>
    </row>
    <row r="22">
      <c r="A22" t="str">
        <v xml:space="preserve">   c) Prioriza clubes de 6-20 equipos (los que más sufren el papeleo y mejor pagan).</v>
      </c>
    </row>
    <row r="23">
      <c r="A23" t="str">
        <v xml:space="preserve">   d) Cuando tengas ~100, arranca la secuencia de emails (ver hoja "Cómo usar").</v>
      </c>
    </row>
  </sheetData>
  <ignoredErrors>
    <ignoredError numberStoredAsText="1" sqref="A1:A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Seguimiento</vt:lpstr>
      <vt:lpstr>Resumen</vt:lpstr>
      <vt:lpstr>Cómo usar</vt:lpstr>
      <vt:lpstr>Fuentes de clubes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