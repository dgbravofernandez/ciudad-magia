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eguimiento" sheetId="1" r:id="rId1"/>
    <sheet name="Resumen" sheetId="2" r:id="rId2"/>
    <sheet name="Cómo usar" sheetId="3" r:id="rId3"/>
    <sheet name="Fuentes de clubes" sheetId="4" r:id="rId4"/>
  </sheets>
  <definedNames>
    <definedName name="_xlnm._FilterDatabase" localSheetId="0">'Seguimiento'!A1:N740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40"/>
  <sheetViews>
    <sheetView workbookViewId="0" rightToLeft="0"/>
  </sheetViews>
  <sheetData>
    <row r="1">
      <c r="A1" t="str">
        <v>Club</v>
      </c>
      <c r="B1" t="str">
        <v>Ubicación</v>
      </c>
      <c r="C1" t="str">
        <v>Web</v>
      </c>
      <c r="D1" t="str">
        <v>Email</v>
      </c>
      <c r="E1" t="str">
        <v>Teléfono</v>
      </c>
      <c r="F1" t="str">
        <v>Federación / Liga</v>
      </c>
      <c r="G1" t="str">
        <v>Estado</v>
      </c>
      <c r="H1" t="str">
        <v>Persona contacto</v>
      </c>
      <c r="I1" t="str">
        <v>Fecha 1er contacto</v>
      </c>
      <c r="J1" t="str">
        <v>Emails enviados</v>
      </c>
      <c r="K1" t="str">
        <v>Fecha último contacto</v>
      </c>
      <c r="L1" t="str">
        <v>Próxima acción</v>
      </c>
      <c r="M1" t="str">
        <v>Fecha próx. acción</v>
      </c>
      <c r="N1" t="str">
        <v>Notas</v>
      </c>
    </row>
    <row r="2">
      <c r="A2" t="str">
        <v>E.F. Ciudad de Getafe</v>
      </c>
      <c r="B2" t="str">
        <v>Getafe</v>
      </c>
      <c r="C2" t="str">
        <v>efciudaddegetafe.com</v>
      </c>
      <c r="D2" t="str">
        <v>info@efciudaddegetafe.com</v>
      </c>
      <c r="E2" t="str">
        <v/>
      </c>
      <c r="F2" t="str">
        <v>RFFM</v>
      </c>
      <c r="G2" t="str">
        <v>Cliente</v>
      </c>
      <c r="H2" t="str">
        <v>Diego</v>
      </c>
      <c r="I2" t="str">
        <v/>
      </c>
      <c r="J2" t="str">
        <v/>
      </c>
      <c r="K2" t="str">
        <v/>
      </c>
      <c r="L2" t="str">
        <v>—</v>
      </c>
      <c r="M2" t="str">
        <v/>
      </c>
      <c r="N2" t="str">
        <v>CLIENTE / caso de éxito</v>
      </c>
    </row>
    <row r="3">
      <c r="A3" t="str">
        <v>Escuela Fútbol Pachón y López</v>
      </c>
      <c r="B3" t="str">
        <v>Getafe</v>
      </c>
      <c r="C3" t="str">
        <v>facebook.com/EFPachonLopez</v>
      </c>
      <c r="D3" t="str">
        <v>verificar (web/rffm.es)</v>
      </c>
      <c r="E3" t="str">
        <v>verificar</v>
      </c>
      <c r="F3" t="str">
        <v>RFFM</v>
      </c>
      <c r="G3" t="str">
        <v>Nuevo</v>
      </c>
      <c r="H3" t="str">
        <v/>
      </c>
      <c r="I3" t="str">
        <v/>
      </c>
      <c r="J3" t="str">
        <v>0</v>
      </c>
      <c r="K3" t="str">
        <v/>
      </c>
      <c r="L3" t="str">
        <v>Enviar Email 1</v>
      </c>
      <c r="M3" t="str">
        <v/>
      </c>
      <c r="N3" t="str">
        <v>Escuela base</v>
      </c>
    </row>
    <row r="4">
      <c r="A4" t="str">
        <v>Tecnificación El Bercial</v>
      </c>
      <c r="B4" t="str">
        <v>Getafe (El Bercial)</v>
      </c>
      <c r="C4" t="str">
        <v>tecnificacionelbercial.com</v>
      </c>
      <c r="D4" t="str">
        <v>verificar (web/rffm.es)</v>
      </c>
      <c r="E4" t="str">
        <v>verificar</v>
      </c>
      <c r="F4" t="str">
        <v>RFFM</v>
      </c>
      <c r="G4" t="str">
        <v>Nuevo</v>
      </c>
      <c r="H4" t="str">
        <v/>
      </c>
      <c r="I4" t="str">
        <v/>
      </c>
      <c r="J4" t="str">
        <v>0</v>
      </c>
      <c r="K4" t="str">
        <v/>
      </c>
      <c r="L4" t="str">
        <v>Enviar Email 1</v>
      </c>
      <c r="M4" t="str">
        <v/>
      </c>
      <c r="N4" t="str">
        <v/>
      </c>
    </row>
    <row r="5">
      <c r="A5" t="str">
        <v>Getafe CF</v>
      </c>
      <c r="B5" t="str">
        <v>Getafe</v>
      </c>
      <c r="C5" t="str">
        <v>getafecf.com</v>
      </c>
      <c r="D5" t="str">
        <v>verificar (web/rffm.es)</v>
      </c>
      <c r="E5" t="str">
        <v>verificar</v>
      </c>
      <c r="F5" t="str">
        <v>RFFM</v>
      </c>
      <c r="G5" t="str">
        <v>Nuevo</v>
      </c>
      <c r="H5" t="str">
        <v/>
      </c>
      <c r="I5" t="str">
        <v/>
      </c>
      <c r="J5" t="str">
        <v>0</v>
      </c>
      <c r="K5" t="str">
        <v/>
      </c>
      <c r="L5" t="str">
        <v>Enviar Email 1</v>
      </c>
      <c r="M5" t="str">
        <v/>
      </c>
      <c r="N5" t="str">
        <v>Grande/pro — baja prioridad</v>
      </c>
    </row>
    <row r="6">
      <c r="A6" t="str">
        <v>Móstoles CF</v>
      </c>
      <c r="B6" t="str">
        <v>Móstoles</v>
      </c>
      <c r="C6" t="str">
        <v>verificar</v>
      </c>
      <c r="D6" t="str">
        <v>verificar (web/rffm.es)</v>
      </c>
      <c r="E6" t="str">
        <v>verificar</v>
      </c>
      <c r="F6" t="str">
        <v>RFFM</v>
      </c>
      <c r="G6" t="str">
        <v>Nuevo</v>
      </c>
      <c r="H6" t="str">
        <v/>
      </c>
      <c r="I6" t="str">
        <v/>
      </c>
      <c r="J6" t="str">
        <v>0</v>
      </c>
      <c r="K6" t="str">
        <v/>
      </c>
      <c r="L6" t="str">
        <v>Enviar Email 1</v>
      </c>
      <c r="M6" t="str">
        <v/>
      </c>
      <c r="N6" t="str">
        <v>Buen perfil base</v>
      </c>
    </row>
    <row r="7">
      <c r="A7" t="str">
        <v>CD Móstoles</v>
      </c>
      <c r="B7" t="str">
        <v>Móstoles</v>
      </c>
      <c r="C7" t="str">
        <v>verificar</v>
      </c>
      <c r="D7" t="str">
        <v>verificar (web/rffm.es)</v>
      </c>
      <c r="E7" t="str">
        <v>verificar</v>
      </c>
      <c r="F7" t="str">
        <v>RFFM</v>
      </c>
      <c r="G7" t="str">
        <v>Nuevo</v>
      </c>
      <c r="H7" t="str">
        <v/>
      </c>
      <c r="I7" t="str">
        <v/>
      </c>
      <c r="J7" t="str">
        <v>0</v>
      </c>
      <c r="K7" t="str">
        <v/>
      </c>
      <c r="L7" t="str">
        <v>Enviar Email 1</v>
      </c>
      <c r="M7" t="str">
        <v/>
      </c>
      <c r="N7" t="str">
        <v/>
      </c>
    </row>
    <row r="8">
      <c r="A8" t="str">
        <v>GM Football Academy</v>
      </c>
      <c r="B8" t="str">
        <v>Móstoles</v>
      </c>
      <c r="C8" t="str">
        <v>facebook.com/gmfacademy</v>
      </c>
      <c r="D8" t="str">
        <v>verificar (web/rffm.es)</v>
      </c>
      <c r="E8" t="str">
        <v>verificar</v>
      </c>
      <c r="F8" t="str">
        <v>RFFM</v>
      </c>
      <c r="G8" t="str">
        <v>Nuevo</v>
      </c>
      <c r="H8" t="str">
        <v/>
      </c>
      <c r="I8" t="str">
        <v/>
      </c>
      <c r="J8" t="str">
        <v>0</v>
      </c>
      <c r="K8" t="str">
        <v/>
      </c>
      <c r="L8" t="str">
        <v>Enviar Email 1</v>
      </c>
      <c r="M8" t="str">
        <v/>
      </c>
      <c r="N8" t="str">
        <v/>
      </c>
    </row>
    <row r="9">
      <c r="A9" t="str">
        <v>CF Fuenlabrada</v>
      </c>
      <c r="B9" t="str">
        <v>Fuenlabrada</v>
      </c>
      <c r="C9" t="str">
        <v>cffuenlabrada.es</v>
      </c>
      <c r="D9" t="str">
        <v>verificar (web/rffm.es)</v>
      </c>
      <c r="E9" t="str">
        <v>verificar</v>
      </c>
      <c r="F9" t="str">
        <v>RFFM</v>
      </c>
      <c r="G9" t="str">
        <v>Nuevo</v>
      </c>
      <c r="H9" t="str">
        <v/>
      </c>
      <c r="I9" t="str">
        <v/>
      </c>
      <c r="J9" t="str">
        <v>0</v>
      </c>
      <c r="K9" t="str">
        <v/>
      </c>
      <c r="L9" t="str">
        <v>Enviar Email 1</v>
      </c>
      <c r="M9" t="str">
        <v/>
      </c>
      <c r="N9" t="str">
        <v/>
      </c>
    </row>
    <row r="10">
      <c r="A10" t="str">
        <v>CD Fuenlabrada Falcons</v>
      </c>
      <c r="B10" t="str">
        <v>Fuenlabrada</v>
      </c>
      <c r="C10" t="str">
        <v>verificar</v>
      </c>
      <c r="D10" t="str">
        <v>verificar (web/rffm.es)</v>
      </c>
      <c r="E10" t="str">
        <v>verificar</v>
      </c>
      <c r="F10" t="str">
        <v>RFFM</v>
      </c>
      <c r="G10" t="str">
        <v>Nuevo</v>
      </c>
      <c r="H10" t="str">
        <v/>
      </c>
      <c r="I10" t="str">
        <v/>
      </c>
      <c r="J10" t="str">
        <v>0</v>
      </c>
      <c r="K10" t="str">
        <v/>
      </c>
      <c r="L10" t="str">
        <v>Enviar Email 1</v>
      </c>
      <c r="M10" t="str">
        <v/>
      </c>
      <c r="N10" t="str">
        <v>12 equipos, 215 jugadores — buen perfil</v>
      </c>
    </row>
    <row r="11">
      <c r="A11" t="str">
        <v>CDE Fuenlabrada El Naranjo</v>
      </c>
      <c r="B11" t="str">
        <v>Fuenlabrada</v>
      </c>
      <c r="C11" t="str">
        <v>cdefuenlabradaelnaranjo.com</v>
      </c>
      <c r="D11" t="str">
        <v>verificar (web/rffm.es)</v>
      </c>
      <c r="E11" t="str">
        <v>verificar</v>
      </c>
      <c r="F11" t="str">
        <v>RFFM</v>
      </c>
      <c r="G11" t="str">
        <v>Nuevo</v>
      </c>
      <c r="H11" t="str">
        <v/>
      </c>
      <c r="I11" t="str">
        <v/>
      </c>
      <c r="J11" t="str">
        <v>0</v>
      </c>
      <c r="K11" t="str">
        <v/>
      </c>
      <c r="L11" t="str">
        <v>Enviar Email 1</v>
      </c>
      <c r="M11" t="str">
        <v/>
      </c>
      <c r="N11" t="str">
        <v/>
      </c>
    </row>
    <row r="12">
      <c r="A12" t="str">
        <v>CD Leganés</v>
      </c>
      <c r="B12" t="str">
        <v>Leganés</v>
      </c>
      <c r="C12" t="str">
        <v>cdleganes.com</v>
      </c>
      <c r="D12" t="str">
        <v>verificar (web/rffm.es)</v>
      </c>
      <c r="E12" t="str">
        <v>verificar</v>
      </c>
      <c r="F12" t="str">
        <v>RFFM</v>
      </c>
      <c r="G12" t="str">
        <v>Nuevo</v>
      </c>
      <c r="H12" t="str">
        <v/>
      </c>
      <c r="I12" t="str">
        <v/>
      </c>
      <c r="J12" t="str">
        <v>0</v>
      </c>
      <c r="K12" t="str">
        <v/>
      </c>
      <c r="L12" t="str">
        <v>Enviar Email 1</v>
      </c>
      <c r="M12" t="str">
        <v/>
      </c>
      <c r="N12" t="str">
        <v>Grande/pro — baja prioridad</v>
      </c>
    </row>
    <row r="13">
      <c r="A13" t="str">
        <v>AD Alcorcón</v>
      </c>
      <c r="B13" t="str">
        <v>Alcorcón</v>
      </c>
      <c r="C13" t="str">
        <v>verificar</v>
      </c>
      <c r="D13" t="str">
        <v>verificar (web/rffm.es)</v>
      </c>
      <c r="E13" t="str">
        <v>verificar</v>
      </c>
      <c r="F13" t="str">
        <v>RFFM</v>
      </c>
      <c r="G13" t="str">
        <v>Nuevo</v>
      </c>
      <c r="H13" t="str">
        <v/>
      </c>
      <c r="I13" t="str">
        <v/>
      </c>
      <c r="J13" t="str">
        <v>0</v>
      </c>
      <c r="K13" t="str">
        <v/>
      </c>
      <c r="L13" t="str">
        <v>Enviar Email 1</v>
      </c>
      <c r="M13" t="str">
        <v/>
      </c>
      <c r="N13" t="str">
        <v>Grande/pro — baja prioridad</v>
      </c>
    </row>
    <row r="14">
      <c r="A14" t="str">
        <v>Escuela Municipal Fútbol Valdemoro</v>
      </c>
      <c r="B14" t="str">
        <v>Valdemoro</v>
      </c>
      <c r="C14" t="str">
        <v>verificar</v>
      </c>
      <c r="D14" t="str">
        <v>verificar (web/rffm.es)</v>
      </c>
      <c r="E14" t="str">
        <v>verificar</v>
      </c>
      <c r="F14" t="str">
        <v>RFFM</v>
      </c>
      <c r="G14" t="str">
        <v>Nuevo</v>
      </c>
      <c r="H14" t="str">
        <v/>
      </c>
      <c r="I14" t="str">
        <v/>
      </c>
      <c r="J14" t="str">
        <v>0</v>
      </c>
      <c r="K14" t="str">
        <v/>
      </c>
      <c r="L14" t="str">
        <v>Enviar Email 1</v>
      </c>
      <c r="M14" t="str">
        <v/>
      </c>
      <c r="N14" t="str">
        <v/>
      </c>
    </row>
    <row r="15">
      <c r="A15" t="str">
        <v>A.D.Y.C. Pinto</v>
      </c>
      <c r="B15" t="str">
        <v>Pinto</v>
      </c>
      <c r="C15" t="str">
        <v>https://adycpinto.es</v>
      </c>
      <c r="D15" t="str">
        <v>adycpt@gmail.com</v>
      </c>
      <c r="E15" t="str">
        <v>916913944</v>
      </c>
      <c r="F15" t="str">
        <v>RFFM</v>
      </c>
      <c r="G15" t="str">
        <v>Nuevo</v>
      </c>
      <c r="H15" t="str">
        <v/>
      </c>
      <c r="I15" t="str">
        <v/>
      </c>
      <c r="J15" t="str">
        <v>0</v>
      </c>
      <c r="K15" t="str">
        <v/>
      </c>
      <c r="L15" t="str">
        <v>Enviar Email 1</v>
      </c>
      <c r="M15" t="str">
        <v/>
      </c>
      <c r="N15" t="str">
        <v>22 equipos · Pres: MELINTO PARDO PINTOR · FB:www.facebook.com/adycpinto · IG:instagram.com/Pintoadyc</v>
      </c>
    </row>
    <row r="16">
      <c r="A16" t="str">
        <v>Atlético de Pinto</v>
      </c>
      <c r="B16" t="str">
        <v>Pinto</v>
      </c>
      <c r="C16" t="str">
        <v>https://clubatleticodepinto.com</v>
      </c>
      <c r="D16" t="str">
        <v>secretaria@clubatleticodepinto.com</v>
      </c>
      <c r="E16" t="str">
        <v>625940354</v>
      </c>
      <c r="F16" t="str">
        <v>RFFM</v>
      </c>
      <c r="G16" t="str">
        <v>Nuevo</v>
      </c>
      <c r="H16" t="str">
        <v/>
      </c>
      <c r="I16" t="str">
        <v/>
      </c>
      <c r="J16" t="str">
        <v>0</v>
      </c>
      <c r="K16" t="str">
        <v/>
      </c>
      <c r="L16" t="str">
        <v>Enviar Email 1</v>
      </c>
      <c r="M16" t="str">
        <v/>
      </c>
      <c r="N16" t="str">
        <v>5 equipos · Pres: JOSE MARIA GARZON FLORES</v>
      </c>
    </row>
    <row r="17">
      <c r="A17" t="str">
        <v>Sporting Ciempozuelos</v>
      </c>
      <c r="B17" t="str">
        <v>Ciempozuelos</v>
      </c>
      <c r="C17" t="str">
        <v>sportingciempozuelos.es</v>
      </c>
      <c r="D17" t="str">
        <v>verificar (web/rffm.es)</v>
      </c>
      <c r="E17" t="str">
        <v>verificar</v>
      </c>
      <c r="F17" t="str">
        <v>RFFM</v>
      </c>
      <c r="G17" t="str">
        <v>Nuevo</v>
      </c>
      <c r="H17" t="str">
        <v/>
      </c>
      <c r="I17" t="str">
        <v/>
      </c>
      <c r="J17" t="str">
        <v>0</v>
      </c>
      <c r="K17" t="str">
        <v/>
      </c>
      <c r="L17" t="str">
        <v>Enviar Email 1</v>
      </c>
      <c r="M17" t="str">
        <v/>
      </c>
      <c r="N17" t="str">
        <v>Escuela base nueva — buen perfil</v>
      </c>
    </row>
    <row r="18">
      <c r="A18" t="str">
        <v>CD Ciempozuelos</v>
      </c>
      <c r="B18" t="str">
        <v>Ciempozuelos</v>
      </c>
      <c r="C18" t="str">
        <v>verificar</v>
      </c>
      <c r="D18" t="str">
        <v>verificar (web/rffm.es)</v>
      </c>
      <c r="E18" t="str">
        <v>verificar</v>
      </c>
      <c r="F18" t="str">
        <v>RFFM</v>
      </c>
      <c r="G18" t="str">
        <v>Nuevo</v>
      </c>
      <c r="H18" t="str">
        <v/>
      </c>
      <c r="I18" t="str">
        <v/>
      </c>
      <c r="J18" t="str">
        <v>0</v>
      </c>
      <c r="K18" t="str">
        <v/>
      </c>
      <c r="L18" t="str">
        <v>Enviar Email 1</v>
      </c>
      <c r="M18" t="str">
        <v/>
      </c>
      <c r="N18" t="str">
        <v/>
      </c>
    </row>
    <row r="19">
      <c r="A19" t="str">
        <v>E.F. Parla</v>
      </c>
      <c r="B19" t="str">
        <v>Parla</v>
      </c>
      <c r="C19" t="str">
        <v>verificar</v>
      </c>
      <c r="D19" t="str">
        <v>verificar (web/rffm.es)</v>
      </c>
      <c r="E19" t="str">
        <v>verificar</v>
      </c>
      <c r="F19" t="str">
        <v>RFFM</v>
      </c>
      <c r="G19" t="str">
        <v>Nuevo</v>
      </c>
      <c r="H19" t="str">
        <v/>
      </c>
      <c r="I19" t="str">
        <v/>
      </c>
      <c r="J19" t="str">
        <v>0</v>
      </c>
      <c r="K19" t="str">
        <v/>
      </c>
      <c r="L19" t="str">
        <v>Enviar Email 1</v>
      </c>
      <c r="M19" t="str">
        <v/>
      </c>
      <c r="N19" t="str">
        <v>Verificar nombre exacto</v>
      </c>
    </row>
    <row r="20">
      <c r="A20" t="str">
        <v>Real Sociedad Deportiva Alcalá</v>
      </c>
      <c r="B20" t="str">
        <v>Alcalá de Henares</v>
      </c>
      <c r="C20" t="str">
        <v>rsdalcala.com</v>
      </c>
      <c r="D20" t="str">
        <v>verificar (web/rffm.es)</v>
      </c>
      <c r="E20" t="str">
        <v>verificar</v>
      </c>
      <c r="F20" t="str">
        <v>RFFM</v>
      </c>
      <c r="G20" t="str">
        <v>Nuevo</v>
      </c>
      <c r="H20" t="str">
        <v/>
      </c>
      <c r="I20" t="str">
        <v/>
      </c>
      <c r="J20" t="str">
        <v>0</v>
      </c>
      <c r="K20" t="str">
        <v/>
      </c>
      <c r="L20" t="str">
        <v>Enviar Email 1</v>
      </c>
      <c r="M20" t="str">
        <v/>
      </c>
      <c r="N20" t="str">
        <v>Grande — tiene base</v>
      </c>
    </row>
    <row r="21">
      <c r="A21" t="str">
        <v>Club DYS Sport Alcalá</v>
      </c>
      <c r="B21" t="str">
        <v>Alcalá de Henares</v>
      </c>
      <c r="C21" t="str">
        <v>verificar</v>
      </c>
      <c r="D21" t="str">
        <v>verificar (web/rffm.es)</v>
      </c>
      <c r="E21" t="str">
        <v>verificar</v>
      </c>
      <c r="F21" t="str">
        <v>RFFM</v>
      </c>
      <c r="G21" t="str">
        <v>Nuevo</v>
      </c>
      <c r="H21" t="str">
        <v/>
      </c>
      <c r="I21" t="str">
        <v/>
      </c>
      <c r="J21" t="str">
        <v>0</v>
      </c>
      <c r="K21" t="str">
        <v/>
      </c>
      <c r="L21" t="str">
        <v>Enviar Email 1</v>
      </c>
      <c r="M21" t="str">
        <v/>
      </c>
      <c r="N21" t="str">
        <v/>
      </c>
    </row>
    <row r="22">
      <c r="A22" t="str">
        <v>CD San Fernando</v>
      </c>
      <c r="B22" t="str">
        <v>San Fernando de Henares</v>
      </c>
      <c r="C22" t="str">
        <v>verificar</v>
      </c>
      <c r="D22" t="str">
        <v>verificar (web/rffm.es)</v>
      </c>
      <c r="E22" t="str">
        <v>verificar</v>
      </c>
      <c r="F22" t="str">
        <v>RFFM</v>
      </c>
      <c r="G22" t="str">
        <v>Nuevo</v>
      </c>
      <c r="H22" t="str">
        <v/>
      </c>
      <c r="I22" t="str">
        <v/>
      </c>
      <c r="J22" t="str">
        <v>0</v>
      </c>
      <c r="K22" t="str">
        <v/>
      </c>
      <c r="L22" t="str">
        <v>Enviar Email 1</v>
      </c>
      <c r="M22" t="str">
        <v/>
      </c>
      <c r="N22" t="str">
        <v/>
      </c>
    </row>
    <row r="23">
      <c r="A23" t="str">
        <v>AD Torrejón CF</v>
      </c>
      <c r="B23" t="str">
        <v>Torrejón de Ardoz</v>
      </c>
      <c r="C23" t="str">
        <v>verificar</v>
      </c>
      <c r="D23" t="str">
        <v>verificar (web/rffm.es)</v>
      </c>
      <c r="E23" t="str">
        <v>verificar</v>
      </c>
      <c r="F23" t="str">
        <v>RFFM</v>
      </c>
      <c r="G23" t="str">
        <v>Nuevo</v>
      </c>
      <c r="H23" t="str">
        <v/>
      </c>
      <c r="I23" t="str">
        <v/>
      </c>
      <c r="J23" t="str">
        <v>0</v>
      </c>
      <c r="K23" t="str">
        <v/>
      </c>
      <c r="L23" t="str">
        <v>Enviar Email 1</v>
      </c>
      <c r="M23" t="str">
        <v/>
      </c>
      <c r="N23" t="str">
        <v/>
      </c>
    </row>
    <row r="24">
      <c r="A24" t="str">
        <v>CD Coslada</v>
      </c>
      <c r="B24" t="str">
        <v>Coslada</v>
      </c>
      <c r="C24" t="str">
        <v>verificar</v>
      </c>
      <c r="D24" t="str">
        <v>verificar (web/rffm.es)</v>
      </c>
      <c r="E24" t="str">
        <v>verificar</v>
      </c>
      <c r="F24" t="str">
        <v>RFFM</v>
      </c>
      <c r="G24" t="str">
        <v>Nuevo</v>
      </c>
      <c r="H24" t="str">
        <v/>
      </c>
      <c r="I24" t="str">
        <v/>
      </c>
      <c r="J24" t="str">
        <v>0</v>
      </c>
      <c r="K24" t="str">
        <v/>
      </c>
      <c r="L24" t="str">
        <v>Enviar Email 1</v>
      </c>
      <c r="M24" t="str">
        <v/>
      </c>
      <c r="N24" t="str">
        <v/>
      </c>
    </row>
    <row r="25">
      <c r="A25" t="str">
        <v>Club Juventud Sanse</v>
      </c>
      <c r="B25" t="str">
        <v>San Sebastián de los Reyes</v>
      </c>
      <c r="C25" t="str">
        <v>verificar</v>
      </c>
      <c r="D25" t="str">
        <v>verificar (web/rffm.es)</v>
      </c>
      <c r="E25" t="str">
        <v>verificar</v>
      </c>
      <c r="F25" t="str">
        <v>RFFM</v>
      </c>
      <c r="G25" t="str">
        <v>Nuevo</v>
      </c>
      <c r="H25" t="str">
        <v/>
      </c>
      <c r="I25" t="str">
        <v/>
      </c>
      <c r="J25" t="str">
        <v>0</v>
      </c>
      <c r="K25" t="str">
        <v/>
      </c>
      <c r="L25" t="str">
        <v>Enviar Email 1</v>
      </c>
      <c r="M25" t="str">
        <v/>
      </c>
      <c r="N25" t="str">
        <v>900 jugadores, +50 equipos — gran perfil</v>
      </c>
    </row>
    <row r="26">
      <c r="A26" t="str">
        <v>UD San Sebastián de los Reyes</v>
      </c>
      <c r="B26" t="str">
        <v>San Sebastián de los Reyes</v>
      </c>
      <c r="C26" t="str">
        <v>verificar</v>
      </c>
      <c r="D26" t="str">
        <v>verificar (web/rffm.es)</v>
      </c>
      <c r="E26" t="str">
        <v>verificar</v>
      </c>
      <c r="F26" t="str">
        <v>RFFM</v>
      </c>
      <c r="G26" t="str">
        <v>Nuevo</v>
      </c>
      <c r="H26" t="str">
        <v/>
      </c>
      <c r="I26" t="str">
        <v/>
      </c>
      <c r="J26" t="str">
        <v>0</v>
      </c>
      <c r="K26" t="str">
        <v/>
      </c>
      <c r="L26" t="str">
        <v>Enviar Email 1</v>
      </c>
      <c r="M26" t="str">
        <v/>
      </c>
      <c r="N26" t="str">
        <v>600 cantera — grande</v>
      </c>
    </row>
    <row r="27">
      <c r="A27" t="str">
        <v>Academia Fútbol Alcobendas</v>
      </c>
      <c r="B27" t="str">
        <v>Alcobendas</v>
      </c>
      <c r="C27" t="str">
        <v>verificar</v>
      </c>
      <c r="D27" t="str">
        <v>verificar (web/rffm.es)</v>
      </c>
      <c r="E27" t="str">
        <v>verificar</v>
      </c>
      <c r="F27" t="str">
        <v>RFFM</v>
      </c>
      <c r="G27" t="str">
        <v>Nuevo</v>
      </c>
      <c r="H27" t="str">
        <v/>
      </c>
      <c r="I27" t="str">
        <v/>
      </c>
      <c r="J27" t="str">
        <v>0</v>
      </c>
      <c r="K27" t="str">
        <v/>
      </c>
      <c r="L27" t="str">
        <v>Enviar Email 1</v>
      </c>
      <c r="M27" t="str">
        <v/>
      </c>
      <c r="N27" t="str">
        <v/>
      </c>
    </row>
    <row r="28">
      <c r="A28" t="str">
        <v>Alcobendas CF</v>
      </c>
      <c r="B28" t="str">
        <v>Alcobendas</v>
      </c>
      <c r="C28" t="str">
        <v>verificar</v>
      </c>
      <c r="D28" t="str">
        <v>verificar (web/rffm.es)</v>
      </c>
      <c r="E28" t="str">
        <v>verificar</v>
      </c>
      <c r="F28" t="str">
        <v>RFFM</v>
      </c>
      <c r="G28" t="str">
        <v>Nuevo</v>
      </c>
      <c r="H28" t="str">
        <v/>
      </c>
      <c r="I28" t="str">
        <v/>
      </c>
      <c r="J28" t="str">
        <v>0</v>
      </c>
      <c r="K28" t="str">
        <v/>
      </c>
      <c r="L28" t="str">
        <v>Enviar Email 1</v>
      </c>
      <c r="M28" t="str">
        <v/>
      </c>
      <c r="N28" t="str">
        <v/>
      </c>
    </row>
    <row r="29">
      <c r="A29" t="str">
        <v>Rayo Ciudad Alcobendas CF</v>
      </c>
      <c r="B29" t="str">
        <v>Alcobendas</v>
      </c>
      <c r="C29" t="str">
        <v>verificar</v>
      </c>
      <c r="D29" t="str">
        <v>verificar (web/rffm.es)</v>
      </c>
      <c r="E29" t="str">
        <v>verificar</v>
      </c>
      <c r="F29" t="str">
        <v>RFFM</v>
      </c>
      <c r="G29" t="str">
        <v>Nuevo</v>
      </c>
      <c r="H29" t="str">
        <v/>
      </c>
      <c r="I29" t="str">
        <v/>
      </c>
      <c r="J29" t="str">
        <v>0</v>
      </c>
      <c r="K29" t="str">
        <v/>
      </c>
      <c r="L29" t="str">
        <v>Enviar Email 1</v>
      </c>
      <c r="M29" t="str">
        <v/>
      </c>
      <c r="N29" t="str">
        <v/>
      </c>
    </row>
    <row r="30">
      <c r="A30" t="str">
        <v>AD Colmenar Viejo</v>
      </c>
      <c r="B30" t="str">
        <v>Colmenar Viejo</v>
      </c>
      <c r="C30" t="str">
        <v>verificar</v>
      </c>
      <c r="D30" t="str">
        <v>verificar (web/rffm.es)</v>
      </c>
      <c r="E30" t="str">
        <v>verificar</v>
      </c>
      <c r="F30" t="str">
        <v>RFFM</v>
      </c>
      <c r="G30" t="str">
        <v>Nuevo</v>
      </c>
      <c r="H30" t="str">
        <v/>
      </c>
      <c r="I30" t="str">
        <v/>
      </c>
      <c r="J30" t="str">
        <v>0</v>
      </c>
      <c r="K30" t="str">
        <v/>
      </c>
      <c r="L30" t="str">
        <v>Enviar Email 1</v>
      </c>
      <c r="M30" t="str">
        <v/>
      </c>
      <c r="N30" t="str">
        <v/>
      </c>
    </row>
    <row r="31">
      <c r="A31" t="str">
        <v>EF Siete Picos</v>
      </c>
      <c r="B31" t="str">
        <v>Colmenar Viejo</v>
      </c>
      <c r="C31" t="str">
        <v>verificar</v>
      </c>
      <c r="D31" t="str">
        <v>verificar (web/rffm.es)</v>
      </c>
      <c r="E31" t="str">
        <v>verificar</v>
      </c>
      <c r="F31" t="str">
        <v>RFFM</v>
      </c>
      <c r="G31" t="str">
        <v>Nuevo</v>
      </c>
      <c r="H31" t="str">
        <v/>
      </c>
      <c r="I31" t="str">
        <v/>
      </c>
      <c r="J31" t="str">
        <v>0</v>
      </c>
      <c r="K31" t="str">
        <v/>
      </c>
      <c r="L31" t="str">
        <v>Enviar Email 1</v>
      </c>
      <c r="M31" t="str">
        <v/>
      </c>
      <c r="N31" t="str">
        <v/>
      </c>
    </row>
    <row r="32">
      <c r="A32" t="str">
        <v>CD Fútbol Tres Cantos</v>
      </c>
      <c r="B32" t="str">
        <v>Tres Cantos</v>
      </c>
      <c r="C32" t="str">
        <v>verificar</v>
      </c>
      <c r="D32" t="str">
        <v>verificar (web/rffm.es)</v>
      </c>
      <c r="E32" t="str">
        <v>verificar</v>
      </c>
      <c r="F32" t="str">
        <v>RFFM</v>
      </c>
      <c r="G32" t="str">
        <v>Nuevo</v>
      </c>
      <c r="H32" t="str">
        <v/>
      </c>
      <c r="I32" t="str">
        <v/>
      </c>
      <c r="J32" t="str">
        <v>0</v>
      </c>
      <c r="K32" t="str">
        <v/>
      </c>
      <c r="L32" t="str">
        <v>Enviar Email 1</v>
      </c>
      <c r="M32" t="str">
        <v/>
      </c>
      <c r="N32" t="str">
        <v/>
      </c>
    </row>
    <row r="33">
      <c r="A33" t="str">
        <v>AD Fútbol Base 3 Cantos</v>
      </c>
      <c r="B33" t="str">
        <v>Tres Cantos</v>
      </c>
      <c r="C33" t="str">
        <v>verificar</v>
      </c>
      <c r="D33" t="str">
        <v>verificar (web/rffm.es)</v>
      </c>
      <c r="E33" t="str">
        <v>verificar</v>
      </c>
      <c r="F33" t="str">
        <v>RFFM</v>
      </c>
      <c r="G33" t="str">
        <v>Nuevo</v>
      </c>
      <c r="H33" t="str">
        <v/>
      </c>
      <c r="I33" t="str">
        <v/>
      </c>
      <c r="J33" t="str">
        <v>0</v>
      </c>
      <c r="K33" t="str">
        <v/>
      </c>
      <c r="L33" t="str">
        <v>Enviar Email 1</v>
      </c>
      <c r="M33" t="str">
        <v/>
      </c>
      <c r="N33" t="str">
        <v/>
      </c>
    </row>
    <row r="34">
      <c r="A34" t="str">
        <v>UD Tres Cantos</v>
      </c>
      <c r="B34" t="str">
        <v>Tres Cantos</v>
      </c>
      <c r="C34" t="str">
        <v>verificar</v>
      </c>
      <c r="D34" t="str">
        <v>verificar (web/rffm.es)</v>
      </c>
      <c r="E34" t="str">
        <v>verificar</v>
      </c>
      <c r="F34" t="str">
        <v>RFFM</v>
      </c>
      <c r="G34" t="str">
        <v>Nuevo</v>
      </c>
      <c r="H34" t="str">
        <v/>
      </c>
      <c r="I34" t="str">
        <v/>
      </c>
      <c r="J34" t="str">
        <v>0</v>
      </c>
      <c r="K34" t="str">
        <v/>
      </c>
      <c r="L34" t="str">
        <v>Enviar Email 1</v>
      </c>
      <c r="M34" t="str">
        <v/>
      </c>
      <c r="N34" t="str">
        <v/>
      </c>
    </row>
    <row r="35">
      <c r="A35" t="str">
        <v>Club FDE</v>
      </c>
      <c r="B35" t="str">
        <v>Pozuelo de Alarcón</v>
      </c>
      <c r="C35" t="str">
        <v>clubfde.com</v>
      </c>
      <c r="D35" t="str">
        <v>verificar (web/rffm.es)</v>
      </c>
      <c r="E35" t="str">
        <v>verificar</v>
      </c>
      <c r="F35" t="str">
        <v>RFFM</v>
      </c>
      <c r="G35" t="str">
        <v>Nuevo</v>
      </c>
      <c r="H35" t="str">
        <v/>
      </c>
      <c r="I35" t="str">
        <v/>
      </c>
      <c r="J35" t="str">
        <v>0</v>
      </c>
      <c r="K35" t="str">
        <v/>
      </c>
      <c r="L35" t="str">
        <v>Enviar Email 1</v>
      </c>
      <c r="M35" t="str">
        <v/>
      </c>
      <c r="N35" t="str">
        <v/>
      </c>
    </row>
    <row r="36">
      <c r="A36" t="str">
        <v>AD Cala Pozuelo</v>
      </c>
      <c r="B36" t="str">
        <v>Pozuelo de Alarcón</v>
      </c>
      <c r="C36" t="str">
        <v>verificar</v>
      </c>
      <c r="D36" t="str">
        <v>verificar (web/rffm.es)</v>
      </c>
      <c r="E36" t="str">
        <v>verificar</v>
      </c>
      <c r="F36" t="str">
        <v>RFFM</v>
      </c>
      <c r="G36" t="str">
        <v>Nuevo</v>
      </c>
      <c r="H36" t="str">
        <v/>
      </c>
      <c r="I36" t="str">
        <v/>
      </c>
      <c r="J36" t="str">
        <v>0</v>
      </c>
      <c r="K36" t="str">
        <v/>
      </c>
      <c r="L36" t="str">
        <v>Enviar Email 1</v>
      </c>
      <c r="M36" t="str">
        <v/>
      </c>
      <c r="N36" t="str">
        <v/>
      </c>
    </row>
    <row r="37">
      <c r="A37" t="str">
        <v>EF Mentema Boadilla</v>
      </c>
      <c r="B37" t="str">
        <v>Boadilla del Monte</v>
      </c>
      <c r="C37" t="str">
        <v>facebook.com/efmentemaboadilla</v>
      </c>
      <c r="D37" t="str">
        <v>verificar (web/rffm.es)</v>
      </c>
      <c r="E37" t="str">
        <v>verificar</v>
      </c>
      <c r="F37" t="str">
        <v>RFFM</v>
      </c>
      <c r="G37" t="str">
        <v>Nuevo</v>
      </c>
      <c r="H37" t="str">
        <v/>
      </c>
      <c r="I37" t="str">
        <v/>
      </c>
      <c r="J37" t="str">
        <v>0</v>
      </c>
      <c r="K37" t="str">
        <v/>
      </c>
      <c r="L37" t="str">
        <v>Enviar Email 1</v>
      </c>
      <c r="M37" t="str">
        <v/>
      </c>
      <c r="N37" t="str">
        <v/>
      </c>
    </row>
    <row r="38">
      <c r="A38" t="str">
        <v>CD Nuevo Boadilla</v>
      </c>
      <c r="B38" t="str">
        <v>Boadilla del Monte</v>
      </c>
      <c r="C38" t="str">
        <v>verificar</v>
      </c>
      <c r="D38" t="str">
        <v>verificar (web/rffm.es)</v>
      </c>
      <c r="E38" t="str">
        <v>verificar</v>
      </c>
      <c r="F38" t="str">
        <v>RFFM</v>
      </c>
      <c r="G38" t="str">
        <v>Nuevo</v>
      </c>
      <c r="H38" t="str">
        <v/>
      </c>
      <c r="I38" t="str">
        <v/>
      </c>
      <c r="J38" t="str">
        <v>0</v>
      </c>
      <c r="K38" t="str">
        <v/>
      </c>
      <c r="L38" t="str">
        <v>Enviar Email 1</v>
      </c>
      <c r="M38" t="str">
        <v/>
      </c>
      <c r="N38" t="str">
        <v/>
      </c>
    </row>
    <row r="39">
      <c r="A39" t="str">
        <v>Las Rozas CF</v>
      </c>
      <c r="B39" t="str">
        <v>Las Rozas</v>
      </c>
      <c r="C39" t="str">
        <v>verificar</v>
      </c>
      <c r="D39" t="str">
        <v>verificar (web/rffm.es)</v>
      </c>
      <c r="E39" t="str">
        <v>verificar</v>
      </c>
      <c r="F39" t="str">
        <v>RFFM</v>
      </c>
      <c r="G39" t="str">
        <v>Nuevo</v>
      </c>
      <c r="H39" t="str">
        <v/>
      </c>
      <c r="I39" t="str">
        <v/>
      </c>
      <c r="J39" t="str">
        <v>0</v>
      </c>
      <c r="K39" t="str">
        <v/>
      </c>
      <c r="L39" t="str">
        <v>Enviar Email 1</v>
      </c>
      <c r="M39" t="str">
        <v/>
      </c>
      <c r="N39" t="str">
        <v/>
      </c>
    </row>
    <row r="40">
      <c r="A40" t="str">
        <v>CD Majadahonda</v>
      </c>
      <c r="B40" t="str">
        <v>Majadahonda</v>
      </c>
      <c r="C40" t="str">
        <v>verificar</v>
      </c>
      <c r="D40" t="str">
        <v>verificar (web/rffm.es)</v>
      </c>
      <c r="E40" t="str">
        <v>verificar</v>
      </c>
      <c r="F40" t="str">
        <v>RFFM</v>
      </c>
      <c r="G40" t="str">
        <v>Nuevo</v>
      </c>
      <c r="H40" t="str">
        <v/>
      </c>
      <c r="I40" t="str">
        <v/>
      </c>
      <c r="J40" t="str">
        <v>0</v>
      </c>
      <c r="K40" t="str">
        <v/>
      </c>
      <c r="L40" t="str">
        <v>Enviar Email 1</v>
      </c>
      <c r="M40" t="str">
        <v/>
      </c>
      <c r="N40" t="str">
        <v/>
      </c>
    </row>
    <row r="41">
      <c r="A41" t="str">
        <v>AD Villaviciosa de Odón - Amistad</v>
      </c>
      <c r="B41" t="str">
        <v>Villaviciosa de Odón</v>
      </c>
      <c r="C41" t="str">
        <v>verificar</v>
      </c>
      <c r="D41" t="str">
        <v>verificar (web/rffm.es)</v>
      </c>
      <c r="E41" t="str">
        <v>verificar</v>
      </c>
      <c r="F41" t="str">
        <v>RFFM</v>
      </c>
      <c r="G41" t="str">
        <v>Nuevo</v>
      </c>
      <c r="H41" t="str">
        <v/>
      </c>
      <c r="I41" t="str">
        <v/>
      </c>
      <c r="J41" t="str">
        <v>0</v>
      </c>
      <c r="K41" t="str">
        <v/>
      </c>
      <c r="L41" t="str">
        <v>Enviar Email 1</v>
      </c>
      <c r="M41" t="str">
        <v/>
      </c>
      <c r="N41" t="str">
        <v/>
      </c>
    </row>
    <row r="42">
      <c r="A42" t="str">
        <v>CD Sitio de Aranjuez</v>
      </c>
      <c r="B42" t="str">
        <v>Aranjuez</v>
      </c>
      <c r="C42" t="str">
        <v>verificar</v>
      </c>
      <c r="D42" t="str">
        <v>verificar (web/rffm.es)</v>
      </c>
      <c r="E42" t="str">
        <v>verificar</v>
      </c>
      <c r="F42" t="str">
        <v>RFFM</v>
      </c>
      <c r="G42" t="str">
        <v>Nuevo</v>
      </c>
      <c r="H42" t="str">
        <v/>
      </c>
      <c r="I42" t="str">
        <v/>
      </c>
      <c r="J42" t="str">
        <v>0</v>
      </c>
      <c r="K42" t="str">
        <v/>
      </c>
      <c r="L42" t="str">
        <v>Enviar Email 1</v>
      </c>
      <c r="M42" t="str">
        <v/>
      </c>
      <c r="N42" t="str">
        <v/>
      </c>
    </row>
    <row r="43">
      <c r="A43" t="str">
        <v>Real Aranjuez CF</v>
      </c>
      <c r="B43" t="str">
        <v>Aranjuez</v>
      </c>
      <c r="C43" t="str">
        <v>verificar</v>
      </c>
      <c r="D43" t="str">
        <v>verificar (web/rffm.es)</v>
      </c>
      <c r="E43" t="str">
        <v>verificar</v>
      </c>
      <c r="F43" t="str">
        <v>RFFM</v>
      </c>
      <c r="G43" t="str">
        <v>Nuevo</v>
      </c>
      <c r="H43" t="str">
        <v/>
      </c>
      <c r="I43" t="str">
        <v/>
      </c>
      <c r="J43" t="str">
        <v>0</v>
      </c>
      <c r="K43" t="str">
        <v/>
      </c>
      <c r="L43" t="str">
        <v>Enviar Email 1</v>
      </c>
      <c r="M43" t="str">
        <v/>
      </c>
      <c r="N43" t="str">
        <v/>
      </c>
    </row>
    <row r="44">
      <c r="A44" t="str">
        <v>CDM Arroyomolinos</v>
      </c>
      <c r="B44" t="str">
        <v>Arroyomolinos</v>
      </c>
      <c r="C44" t="str">
        <v>verificar</v>
      </c>
      <c r="D44" t="str">
        <v>verificar (web/rffm.es)</v>
      </c>
      <c r="E44" t="str">
        <v>verificar</v>
      </c>
      <c r="F44" t="str">
        <v>RFFM</v>
      </c>
      <c r="G44" t="str">
        <v>Nuevo</v>
      </c>
      <c r="H44" t="str">
        <v/>
      </c>
      <c r="I44" t="str">
        <v/>
      </c>
      <c r="J44" t="str">
        <v>0</v>
      </c>
      <c r="K44" t="str">
        <v/>
      </c>
      <c r="L44" t="str">
        <v>Enviar Email 1</v>
      </c>
      <c r="M44" t="str">
        <v/>
      </c>
      <c r="N44" t="str">
        <v/>
      </c>
    </row>
    <row r="45">
      <c r="A45" t="str">
        <v>CDA Navalcarnero</v>
      </c>
      <c r="B45" t="str">
        <v>Navalcarnero</v>
      </c>
      <c r="C45" t="str">
        <v>verificar</v>
      </c>
      <c r="D45" t="str">
        <v>verificar (web/rffm.es)</v>
      </c>
      <c r="E45" t="str">
        <v>verificar</v>
      </c>
      <c r="F45" t="str">
        <v>RFFM</v>
      </c>
      <c r="G45" t="str">
        <v>Nuevo</v>
      </c>
      <c r="H45" t="str">
        <v/>
      </c>
      <c r="I45" t="str">
        <v/>
      </c>
      <c r="J45" t="str">
        <v>0</v>
      </c>
      <c r="K45" t="str">
        <v/>
      </c>
      <c r="L45" t="str">
        <v>Enviar Email 1</v>
      </c>
      <c r="M45" t="str">
        <v/>
      </c>
      <c r="N45" t="str">
        <v/>
      </c>
    </row>
    <row r="46">
      <c r="A46" t="str">
        <v>EF San Martín de la Vega</v>
      </c>
      <c r="B46" t="str">
        <v>San Martín de la Vega</v>
      </c>
      <c r="C46" t="str">
        <v>verificar</v>
      </c>
      <c r="D46" t="str">
        <v>verificar (web/rffm.es)</v>
      </c>
      <c r="E46" t="str">
        <v>verificar</v>
      </c>
      <c r="F46" t="str">
        <v>RFFM</v>
      </c>
      <c r="G46" t="str">
        <v>Nuevo</v>
      </c>
      <c r="H46" t="str">
        <v/>
      </c>
      <c r="I46" t="str">
        <v/>
      </c>
      <c r="J46" t="str">
        <v>0</v>
      </c>
      <c r="K46" t="str">
        <v/>
      </c>
      <c r="L46" t="str">
        <v>Enviar Email 1</v>
      </c>
      <c r="M46" t="str">
        <v/>
      </c>
      <c r="N46" t="str">
        <v/>
      </c>
    </row>
    <row r="47">
      <c r="A47" t="str">
        <v>CD Arroyo</v>
      </c>
      <c r="B47" t="str">
        <v>Humanes de Madrid</v>
      </c>
      <c r="C47" t="str">
        <v>verificar</v>
      </c>
      <c r="D47" t="str">
        <v>verificar (web/rffm.es)</v>
      </c>
      <c r="E47" t="str">
        <v>verificar</v>
      </c>
      <c r="F47" t="str">
        <v>RFFM</v>
      </c>
      <c r="G47" t="str">
        <v>Nuevo</v>
      </c>
      <c r="H47" t="str">
        <v/>
      </c>
      <c r="I47" t="str">
        <v/>
      </c>
      <c r="J47" t="str">
        <v>0</v>
      </c>
      <c r="K47" t="str">
        <v/>
      </c>
      <c r="L47" t="str">
        <v>Enviar Email 1</v>
      </c>
      <c r="M47" t="str">
        <v/>
      </c>
      <c r="N47" t="str">
        <v/>
      </c>
    </row>
    <row r="48">
      <c r="A48" t="str">
        <v>REAL MADRID C.F.</v>
      </c>
      <c r="B48" t="str">
        <v>Madrid, Madrid</v>
      </c>
      <c r="C48" t="str">
        <v>https://www.realmadrid.com</v>
      </c>
      <c r="D48" t="str">
        <v>administracionfutbol@realmadrid.es</v>
      </c>
      <c r="E48" t="str">
        <v>913984320</v>
      </c>
      <c r="F48" t="str">
        <v>Fútbol · RFFM</v>
      </c>
      <c r="G48" t="str">
        <v>Nuevo</v>
      </c>
      <c r="H48" t="str">
        <v/>
      </c>
      <c r="I48" t="str">
        <v/>
      </c>
      <c r="J48" t="str">
        <v>0</v>
      </c>
      <c r="K48" t="str">
        <v/>
      </c>
      <c r="L48" t="str">
        <v>Enviar Email 1</v>
      </c>
      <c r="M48" t="str">
        <v/>
      </c>
      <c r="N48" t="str">
        <v>22 equipos · Pres: FLORENTINO PEREZ RODRIGUEZ</v>
      </c>
    </row>
    <row r="49">
      <c r="A49" t="str">
        <v>CLUB ATLETICO DE MADRID S.A.D.</v>
      </c>
      <c r="B49" t="str">
        <v>Madrid, Madrid</v>
      </c>
      <c r="C49" t="str">
        <v>https://www://atleticodemadrid.com</v>
      </c>
      <c r="D49" t="str">
        <v>agbaquero@atleticodemadrid.com</v>
      </c>
      <c r="E49" t="str">
        <v>913664707</v>
      </c>
      <c r="F49" t="str">
        <v>Fútbol · RFFM</v>
      </c>
      <c r="G49" t="str">
        <v>Nuevo</v>
      </c>
      <c r="H49" t="str">
        <v/>
      </c>
      <c r="I49" t="str">
        <v/>
      </c>
      <c r="J49" t="str">
        <v>0</v>
      </c>
      <c r="K49" t="str">
        <v/>
      </c>
      <c r="L49" t="str">
        <v>Enviar Email 1</v>
      </c>
      <c r="M49" t="str">
        <v/>
      </c>
      <c r="N49" t="str">
        <v>65 equipos · Pres: ENRIQUE CEREZO TORRES</v>
      </c>
    </row>
    <row r="50">
      <c r="A50" t="str">
        <v>REAL C.D. CARABANCHEL</v>
      </c>
      <c r="B50" t="str">
        <v>Madrid, Madrid</v>
      </c>
      <c r="C50" t="str">
        <v>http://www.rcdcarabanchel.es</v>
      </c>
      <c r="D50" t="str">
        <v>administraciondeportiva@rcdcarabanchel.es</v>
      </c>
      <c r="E50" t="str">
        <v>914663746</v>
      </c>
      <c r="F50" t="str">
        <v>Fútbol · RFFM</v>
      </c>
      <c r="G50" t="str">
        <v>Nuevo</v>
      </c>
      <c r="H50" t="str">
        <v/>
      </c>
      <c r="I50" t="str">
        <v/>
      </c>
      <c r="J50" t="str">
        <v>0</v>
      </c>
      <c r="K50" t="str">
        <v/>
      </c>
      <c r="L50" t="str">
        <v>Enviar Email 1</v>
      </c>
      <c r="M50" t="str">
        <v/>
      </c>
      <c r="N50" t="str">
        <v>38 equipos · Pres: JAVIER MUÑOZ RIVERA · FB:http://www.facebook.com/realclubdeportivocarabanchel · IG:http://www.instagram.con/rcdcarabanche</v>
      </c>
    </row>
    <row r="51">
      <c r="A51" t="str">
        <v>CLUB A.D. FERROVIARIA</v>
      </c>
      <c r="B51" t="str">
        <v>Madrid, Madrid</v>
      </c>
      <c r="C51" t="str">
        <v>https://www.adferroviaria.org</v>
      </c>
      <c r="D51" t="str">
        <v>info@adferroviaria.org</v>
      </c>
      <c r="E51" t="str">
        <v>635478716</v>
      </c>
      <c r="F51" t="str">
        <v>Fútbol · RFFM</v>
      </c>
      <c r="G51" t="str">
        <v>Nuevo</v>
      </c>
      <c r="H51" t="str">
        <v/>
      </c>
      <c r="I51" t="str">
        <v/>
      </c>
      <c r="J51" t="str">
        <v>0</v>
      </c>
      <c r="K51" t="str">
        <v/>
      </c>
      <c r="L51" t="str">
        <v>Enviar Email 1</v>
      </c>
      <c r="M51" t="str">
        <v/>
      </c>
      <c r="N51" t="str">
        <v>1 equipos · Pres: JAVIER PUIG MARTINEZ</v>
      </c>
    </row>
    <row r="52">
      <c r="A52" t="str">
        <v>RAYO VALLECANO DE MADRID S.A.D.</v>
      </c>
      <c r="B52" t="str">
        <v>Madrid, Madrid</v>
      </c>
      <c r="C52" t="str">
        <v>https://www.rayovallecano.es</v>
      </c>
      <c r="D52" t="str">
        <v>directorfutbolbase@rayovallecano.es</v>
      </c>
      <c r="E52" t="str">
        <v>914782253</v>
      </c>
      <c r="F52" t="str">
        <v>Fútbol · RFFM</v>
      </c>
      <c r="G52" t="str">
        <v>Nuevo</v>
      </c>
      <c r="H52" t="str">
        <v/>
      </c>
      <c r="I52" t="str">
        <v/>
      </c>
      <c r="J52" t="str">
        <v>0</v>
      </c>
      <c r="K52" t="str">
        <v/>
      </c>
      <c r="L52" t="str">
        <v>Enviar Email 1</v>
      </c>
      <c r="M52" t="str">
        <v/>
      </c>
      <c r="N52" t="str">
        <v>15 equipos · Pres: RAUL SANTIAGO MARTIN PRESA · IG:rayovallecano</v>
      </c>
    </row>
    <row r="53">
      <c r="A53" t="str">
        <v>R.S.D. ALCALA S.A.D.</v>
      </c>
      <c r="B53" t="str">
        <v>Alcalá De Henares, Madrid</v>
      </c>
      <c r="C53" t="str">
        <v>https://www.rsdalcala.com</v>
      </c>
      <c r="D53" t="str">
        <v>info@rsdalcala.com</v>
      </c>
      <c r="E53" t="str">
        <v>910281556</v>
      </c>
      <c r="F53" t="str">
        <v>Fútbol · RFFM</v>
      </c>
      <c r="G53" t="str">
        <v>Nuevo</v>
      </c>
      <c r="H53" t="str">
        <v/>
      </c>
      <c r="I53" t="str">
        <v/>
      </c>
      <c r="J53" t="str">
        <v>0</v>
      </c>
      <c r="K53" t="str">
        <v/>
      </c>
      <c r="L53" t="str">
        <v>Enviar Email 1</v>
      </c>
      <c r="M53" t="str">
        <v/>
      </c>
      <c r="N53" t="str">
        <v>37 equipos · Pres: JOSE ANTONIO PAREJA ESTEBAN</v>
      </c>
    </row>
    <row r="54">
      <c r="A54" t="str">
        <v>C.D. COLONIA MOSCARDO</v>
      </c>
      <c r="B54" t="str">
        <v>Madrid, Madrid</v>
      </c>
      <c r="C54" t="str">
        <v>https://www.cdcmoscardo.com</v>
      </c>
      <c r="D54" t="str">
        <v>cantera@cdcmoscardo.es</v>
      </c>
      <c r="E54" t="str">
        <v>618288422</v>
      </c>
      <c r="F54" t="str">
        <v>Fútbol · RFFM</v>
      </c>
      <c r="G54" t="str">
        <v>Nuevo</v>
      </c>
      <c r="H54" t="str">
        <v/>
      </c>
      <c r="I54" t="str">
        <v/>
      </c>
      <c r="J54" t="str">
        <v>0</v>
      </c>
      <c r="K54" t="str">
        <v/>
      </c>
      <c r="L54" t="str">
        <v>Enviar Email 1</v>
      </c>
      <c r="M54" t="str">
        <v/>
      </c>
      <c r="N54" t="str">
        <v>22 equipos · Pres: ARTURO IGNACIO SISO SOSA</v>
      </c>
    </row>
    <row r="55">
      <c r="A55" t="str">
        <v>C.D. LEGANES S.A.D.</v>
      </c>
      <c r="B55" t="str">
        <v>Leganés, Madrid</v>
      </c>
      <c r="C55" t="str">
        <v>https://www.cdleganes.com</v>
      </c>
      <c r="D55" t="str">
        <v>futbolbase@cdleganes.com</v>
      </c>
      <c r="E55" t="str">
        <v>916888629</v>
      </c>
      <c r="F55" t="str">
        <v>Fútbol · RFFM</v>
      </c>
      <c r="G55" t="str">
        <v>Nuevo</v>
      </c>
      <c r="H55" t="str">
        <v/>
      </c>
      <c r="I55" t="str">
        <v/>
      </c>
      <c r="J55" t="str">
        <v>0</v>
      </c>
      <c r="K55" t="str">
        <v/>
      </c>
      <c r="L55" t="str">
        <v>Enviar Email 1</v>
      </c>
      <c r="M55" t="str">
        <v/>
      </c>
      <c r="N55" t="str">
        <v>30 equipos · Pres: JEFFREY ALDREDGE LUHNOW</v>
      </c>
    </row>
    <row r="56">
      <c r="A56" t="str">
        <v>ARAVACA C.F.</v>
      </c>
      <c r="B56" t="str">
        <v>Madrid, Madrid</v>
      </c>
      <c r="C56" t="str">
        <v>https://aravacacf.ffmadrid.org</v>
      </c>
      <c r="D56" t="str">
        <v>verificar</v>
      </c>
      <c r="E56" t="str">
        <v>608507126</v>
      </c>
      <c r="F56" t="str">
        <v>Fútbol · RFFM</v>
      </c>
      <c r="G56" t="str">
        <v>Nuevo</v>
      </c>
      <c r="H56" t="str">
        <v/>
      </c>
      <c r="I56" t="str">
        <v/>
      </c>
      <c r="J56" t="str">
        <v>0</v>
      </c>
      <c r="K56" t="str">
        <v/>
      </c>
      <c r="L56" t="str">
        <v>Enviar Email 1</v>
      </c>
      <c r="M56" t="str">
        <v/>
      </c>
      <c r="N56" t="str">
        <v>35 equipos · Pres: EMILIANO DE LA CAL DE LA CAL</v>
      </c>
    </row>
    <row r="57">
      <c r="A57" t="str">
        <v>REAL ARANJUEZ C.F.</v>
      </c>
      <c r="B57" t="str">
        <v>Aranjuez, Madrid</v>
      </c>
      <c r="C57" t="str">
        <v>https://www.realaranjuezcf.com</v>
      </c>
      <c r="D57" t="str">
        <v>admin@realaranjuezcf.com</v>
      </c>
      <c r="E57" t="str">
        <v>695394646</v>
      </c>
      <c r="F57" t="str">
        <v>Fútbol · RFFM</v>
      </c>
      <c r="G57" t="str">
        <v>Nuevo</v>
      </c>
      <c r="H57" t="str">
        <v/>
      </c>
      <c r="I57" t="str">
        <v/>
      </c>
      <c r="J57" t="str">
        <v>0</v>
      </c>
      <c r="K57" t="str">
        <v/>
      </c>
      <c r="L57" t="str">
        <v>Enviar Email 1</v>
      </c>
      <c r="M57" t="str">
        <v/>
      </c>
      <c r="N57" t="str">
        <v>25 equipos · Pres: PEDRO JAVIER DE LA HOZ LOPEZ</v>
      </c>
    </row>
    <row r="58">
      <c r="A58" t="str">
        <v>C.D. SAN FERNANDO</v>
      </c>
      <c r="B58" t="str">
        <v>San Fernando De Henares, Madrid</v>
      </c>
      <c r="C58" t="str">
        <v>https://www.cdsanfernando.es</v>
      </c>
      <c r="D58" t="str">
        <v>cdsanfernando@cdsanfernando.es</v>
      </c>
      <c r="E58" t="str">
        <v>626997802</v>
      </c>
      <c r="F58" t="str">
        <v>Fútbol · RFFM</v>
      </c>
      <c r="G58" t="str">
        <v>Nuevo</v>
      </c>
      <c r="H58" t="str">
        <v/>
      </c>
      <c r="I58" t="str">
        <v/>
      </c>
      <c r="J58" t="str">
        <v>0</v>
      </c>
      <c r="K58" t="str">
        <v/>
      </c>
      <c r="L58" t="str">
        <v>Enviar Email 1</v>
      </c>
      <c r="M58" t="str">
        <v/>
      </c>
      <c r="N58" t="str">
        <v>19 equipos · Pres: LUIS IGNACIO LEIVA SARMIENTO · IG:cdsanfernando</v>
      </c>
    </row>
    <row r="59">
      <c r="A59" t="str">
        <v>C.D. BARAJAS</v>
      </c>
      <c r="B59" t="str">
        <v>Madrid, Madrid</v>
      </c>
      <c r="C59" t="str">
        <v>https://www.cdbarajas.com</v>
      </c>
      <c r="D59" t="str">
        <v>cd.barajas@hotmail.es</v>
      </c>
      <c r="E59" t="str">
        <v>913292218</v>
      </c>
      <c r="F59" t="str">
        <v>Fútbol · RFFM</v>
      </c>
      <c r="G59" t="str">
        <v>Nuevo</v>
      </c>
      <c r="H59" t="str">
        <v/>
      </c>
      <c r="I59" t="str">
        <v/>
      </c>
      <c r="J59" t="str">
        <v>0</v>
      </c>
      <c r="K59" t="str">
        <v/>
      </c>
      <c r="L59" t="str">
        <v>Enviar Email 1</v>
      </c>
      <c r="M59" t="str">
        <v/>
      </c>
      <c r="N59" t="str">
        <v>24 equipos · Pres: JUAN MUÑOZ SEVILLANO</v>
      </c>
    </row>
    <row r="60">
      <c r="A60" t="str">
        <v>A.D. CALA POZUELO</v>
      </c>
      <c r="B60" t="str">
        <v>Pozuelo De Alarcón, Madrid</v>
      </c>
      <c r="C60" t="str">
        <v>verificar</v>
      </c>
      <c r="D60" t="str">
        <v>verificar</v>
      </c>
      <c r="E60" t="str">
        <v>678440786</v>
      </c>
      <c r="F60" t="str">
        <v>Fútbol · RFFM</v>
      </c>
      <c r="G60" t="str">
        <v>Nuevo</v>
      </c>
      <c r="H60" t="str">
        <v/>
      </c>
      <c r="I60" t="str">
        <v/>
      </c>
      <c r="J60" t="str">
        <v>0</v>
      </c>
      <c r="K60" t="str">
        <v/>
      </c>
      <c r="L60" t="str">
        <v>Enviar Email 1</v>
      </c>
      <c r="M60" t="str">
        <v/>
      </c>
      <c r="N60" t="str">
        <v>17 equipos · Pres: RAFAEL LEOPOLDO GOMEZ ARAGON</v>
      </c>
    </row>
    <row r="61">
      <c r="A61" t="str">
        <v>A.D. COLMENAR VIEJO</v>
      </c>
      <c r="B61" t="str">
        <v>Colmenar Viejo, Madrid</v>
      </c>
      <c r="C61" t="str">
        <v>https://www.adcolmenarviejo.es</v>
      </c>
      <c r="D61" t="str">
        <v>administracion@adcolmenarviejo.es</v>
      </c>
      <c r="E61" t="str">
        <v>911647674</v>
      </c>
      <c r="F61" t="str">
        <v>Fútbol · RFFM</v>
      </c>
      <c r="G61" t="str">
        <v>Nuevo</v>
      </c>
      <c r="H61" t="str">
        <v/>
      </c>
      <c r="I61" t="str">
        <v/>
      </c>
      <c r="J61" t="str">
        <v>0</v>
      </c>
      <c r="K61" t="str">
        <v/>
      </c>
      <c r="L61" t="str">
        <v>Enviar Email 1</v>
      </c>
      <c r="M61" t="str">
        <v/>
      </c>
      <c r="N61" t="str">
        <v>57 equipos · Pres: JUAN FERNANDO POVEDANO MARTINEZ · FB:https://es-es.facebook.com/ADCOLMENARVIEJO/ · IG:https://www.instagram.com/adcolmena</v>
      </c>
    </row>
    <row r="62">
      <c r="A62" t="str">
        <v>VALLECAS C.F.</v>
      </c>
      <c r="B62" t="str">
        <v>Madrid, Madrid</v>
      </c>
      <c r="C62" t="str">
        <v>https://www.vallecascf.com</v>
      </c>
      <c r="D62" t="str">
        <v>administracion@vallecascf.com</v>
      </c>
      <c r="E62" t="str">
        <v>913311486</v>
      </c>
      <c r="F62" t="str">
        <v>Fútbol · RFFM</v>
      </c>
      <c r="G62" t="str">
        <v>Nuevo</v>
      </c>
      <c r="H62" t="str">
        <v/>
      </c>
      <c r="I62" t="str">
        <v/>
      </c>
      <c r="J62" t="str">
        <v>0</v>
      </c>
      <c r="K62" t="str">
        <v/>
      </c>
      <c r="L62" t="str">
        <v>Enviar Email 1</v>
      </c>
      <c r="M62" t="str">
        <v/>
      </c>
      <c r="N62" t="str">
        <v>40 equipos · Pres: VICTOR DE CAMBRA ANTON · FB:https://www.facebook.com/vallecascf · IG:https://www.instagram.com/vallecascf/</v>
      </c>
    </row>
    <row r="63">
      <c r="A63" t="str">
        <v>A.D. EL PARDO</v>
      </c>
      <c r="B63" t="str">
        <v>Madrid, Madrid</v>
      </c>
      <c r="C63" t="str">
        <v>https://oficialadelpardo.wordpress.com/</v>
      </c>
      <c r="D63" t="str">
        <v>oficial.adelpardo@gmail.com</v>
      </c>
      <c r="E63" t="str">
        <v>651811148</v>
      </c>
      <c r="F63" t="str">
        <v>Fútbol · RFFM</v>
      </c>
      <c r="G63" t="str">
        <v>Nuevo</v>
      </c>
      <c r="H63" t="str">
        <v/>
      </c>
      <c r="I63" t="str">
        <v/>
      </c>
      <c r="J63" t="str">
        <v>0</v>
      </c>
      <c r="K63" t="str">
        <v/>
      </c>
      <c r="L63" t="str">
        <v>Enviar Email 1</v>
      </c>
      <c r="M63" t="str">
        <v/>
      </c>
      <c r="N63" t="str">
        <v>8 equipos · Pres: CESAR AVILA SUAREZ</v>
      </c>
    </row>
    <row r="64">
      <c r="A64" t="str">
        <v>ALCOBENDAS C.F.</v>
      </c>
      <c r="B64" t="str">
        <v>Alcobendas, Madrid</v>
      </c>
      <c r="C64" t="str">
        <v>https://www.adalcobendascf.com</v>
      </c>
      <c r="D64" t="str">
        <v>admon@adalcobendascf.com</v>
      </c>
      <c r="E64" t="str">
        <v>630018640</v>
      </c>
      <c r="F64" t="str">
        <v>Fútbol · RFFM</v>
      </c>
      <c r="G64" t="str">
        <v>Nuevo</v>
      </c>
      <c r="H64" t="str">
        <v/>
      </c>
      <c r="I64" t="str">
        <v/>
      </c>
      <c r="J64" t="str">
        <v>0</v>
      </c>
      <c r="K64" t="str">
        <v/>
      </c>
      <c r="L64" t="str">
        <v>Enviar Email 1</v>
      </c>
      <c r="M64" t="str">
        <v/>
      </c>
      <c r="N64" t="str">
        <v>31 equipos · Pres: ALBERTO PEREZ BORRACHERO</v>
      </c>
    </row>
    <row r="65">
      <c r="A65" t="str">
        <v>A.D. ALCORCON S.A.D.</v>
      </c>
      <c r="B65" t="str">
        <v>Alcorcón, Madrid</v>
      </c>
      <c r="C65" t="str">
        <v>https://www.adalcorcon.com</v>
      </c>
      <c r="D65" t="str">
        <v>cantera@adalcorcon.com</v>
      </c>
      <c r="E65" t="str">
        <v>918333443</v>
      </c>
      <c r="F65" t="str">
        <v>Fútbol · RFFM</v>
      </c>
      <c r="G65" t="str">
        <v>Nuevo</v>
      </c>
      <c r="H65" t="str">
        <v/>
      </c>
      <c r="I65" t="str">
        <v/>
      </c>
      <c r="J65" t="str">
        <v>0</v>
      </c>
      <c r="K65" t="str">
        <v/>
      </c>
      <c r="L65" t="str">
        <v>Enviar Email 1</v>
      </c>
      <c r="M65" t="str">
        <v/>
      </c>
      <c r="N65" t="str">
        <v>25 equipos · Pres: IVAN OLIVER BRAVO MARTIN</v>
      </c>
    </row>
    <row r="66">
      <c r="A66" t="str">
        <v>C.D. EL ESCORIAL</v>
      </c>
      <c r="B66" t="str">
        <v>Escorial (El), Madrid</v>
      </c>
      <c r="C66" t="str">
        <v>https://www.cdescorial.com</v>
      </c>
      <c r="D66" t="str">
        <v>cdescorialoficial@gmail.com</v>
      </c>
      <c r="E66" t="str">
        <v>642849969</v>
      </c>
      <c r="F66" t="str">
        <v>Fútbol · RFFM</v>
      </c>
      <c r="G66" t="str">
        <v>Nuevo</v>
      </c>
      <c r="H66" t="str">
        <v/>
      </c>
      <c r="I66" t="str">
        <v/>
      </c>
      <c r="J66" t="str">
        <v>0</v>
      </c>
      <c r="K66" t="str">
        <v/>
      </c>
      <c r="L66" t="str">
        <v>Enviar Email 1</v>
      </c>
      <c r="M66" t="str">
        <v/>
      </c>
      <c r="N66" t="str">
        <v>6 equipos · Pres: JESUS MARTIN SANCHEZ · FB:cdescorialoficial</v>
      </c>
    </row>
    <row r="67">
      <c r="A67" t="str">
        <v>LAS ROZAS C.F.</v>
      </c>
      <c r="B67" t="str">
        <v>Las Rozas de Madrid, Madrid</v>
      </c>
      <c r="C67" t="str">
        <v>https://www.lasrozascf.com</v>
      </c>
      <c r="D67" t="str">
        <v>contacto@lasrozascf.es</v>
      </c>
      <c r="E67" t="str">
        <v>916361533</v>
      </c>
      <c r="F67" t="str">
        <v>Fútbol · RFFM</v>
      </c>
      <c r="G67" t="str">
        <v>Nuevo</v>
      </c>
      <c r="H67" t="str">
        <v/>
      </c>
      <c r="I67" t="str">
        <v/>
      </c>
      <c r="J67" t="str">
        <v>0</v>
      </c>
      <c r="K67" t="str">
        <v/>
      </c>
      <c r="L67" t="str">
        <v>Enviar Email 1</v>
      </c>
      <c r="M67" t="str">
        <v/>
      </c>
      <c r="N67" t="str">
        <v>41 equipos · Pres: ANGEL CAMPOS MARTIN</v>
      </c>
    </row>
    <row r="68">
      <c r="A68" t="str">
        <v>A.D. PARLA</v>
      </c>
      <c r="B68" t="str">
        <v>Parla, Madrid</v>
      </c>
      <c r="C68" t="str">
        <v>https://www.adparla.com</v>
      </c>
      <c r="D68" t="str">
        <v>futbolbase@adparla.com</v>
      </c>
      <c r="E68" t="str">
        <v>916057163</v>
      </c>
      <c r="F68" t="str">
        <v>Fútbol · RFFM</v>
      </c>
      <c r="G68" t="str">
        <v>Nuevo</v>
      </c>
      <c r="H68" t="str">
        <v/>
      </c>
      <c r="I68" t="str">
        <v/>
      </c>
      <c r="J68" t="str">
        <v>0</v>
      </c>
      <c r="K68" t="str">
        <v/>
      </c>
      <c r="L68" t="str">
        <v>Enviar Email 1</v>
      </c>
      <c r="M68" t="str">
        <v/>
      </c>
      <c r="N68" t="str">
        <v>35 equipos · Pres: NURIA LOPEZ BLAZQUEZ · FB:Agrupación Deportiva Parla · IG:@adparla</v>
      </c>
    </row>
    <row r="69">
      <c r="A69" t="str">
        <v>C.D. UNION DE ARAVACA</v>
      </c>
      <c r="B69" t="str">
        <v>Madrid, Madrid</v>
      </c>
      <c r="C69" t="str">
        <v>https://www.unionaravaca.com/</v>
      </c>
      <c r="D69" t="str">
        <v>cdunionaravaca1946@gmail.com</v>
      </c>
      <c r="E69" t="str">
        <v>614466627</v>
      </c>
      <c r="F69" t="str">
        <v>Fútbol · RFFM</v>
      </c>
      <c r="G69" t="str">
        <v>Nuevo</v>
      </c>
      <c r="H69" t="str">
        <v/>
      </c>
      <c r="I69" t="str">
        <v/>
      </c>
      <c r="J69" t="str">
        <v>0</v>
      </c>
      <c r="K69" t="str">
        <v/>
      </c>
      <c r="L69" t="str">
        <v>Enviar Email 1</v>
      </c>
      <c r="M69" t="str">
        <v/>
      </c>
      <c r="N69" t="str">
        <v>19 equipos · Pres: ANGEL LORENZO MARTIN · IG:union_aravaca</v>
      </c>
    </row>
    <row r="70">
      <c r="A70" t="str">
        <v>ATLETICO LEONES DE CASTILLA</v>
      </c>
      <c r="B70" t="str">
        <v>Guadarrama, Madrid</v>
      </c>
      <c r="C70" t="str">
        <v>http://www.leonesdecastilla.com</v>
      </c>
      <c r="D70" t="str">
        <v>club@leonesdecastilla.com</v>
      </c>
      <c r="E70" t="str">
        <v>918543105</v>
      </c>
      <c r="F70" t="str">
        <v>Fútbol · RFFM</v>
      </c>
      <c r="G70" t="str">
        <v>Nuevo</v>
      </c>
      <c r="H70" t="str">
        <v/>
      </c>
      <c r="I70" t="str">
        <v/>
      </c>
      <c r="J70" t="str">
        <v>0</v>
      </c>
      <c r="K70" t="str">
        <v/>
      </c>
      <c r="L70" t="str">
        <v>Enviar Email 1</v>
      </c>
      <c r="M70" t="str">
        <v/>
      </c>
      <c r="N70" t="str">
        <v>14 equipos · Pres: FRANCISCO MASET SUANZES</v>
      </c>
    </row>
    <row r="71">
      <c r="A71" t="str">
        <v>C.D.A. NAVALCARNERO</v>
      </c>
      <c r="B71" t="str">
        <v>Navalcarnero, Madrid</v>
      </c>
      <c r="C71" t="str">
        <v>https://www.cdanavalcarnero.es</v>
      </c>
      <c r="D71" t="str">
        <v>canteracdanavalcarnero@gmail.com</v>
      </c>
      <c r="E71" t="str">
        <v>918112316</v>
      </c>
      <c r="F71" t="str">
        <v>Fútbol · RFFM</v>
      </c>
      <c r="G71" t="str">
        <v>Nuevo</v>
      </c>
      <c r="H71" t="str">
        <v/>
      </c>
      <c r="I71" t="str">
        <v/>
      </c>
      <c r="J71" t="str">
        <v>0</v>
      </c>
      <c r="K71" t="str">
        <v/>
      </c>
      <c r="L71" t="str">
        <v>Enviar Email 1</v>
      </c>
      <c r="M71" t="str">
        <v/>
      </c>
      <c r="N71" t="str">
        <v>47 equipos · Pres: JUAN ALARCON VILLEGAS</v>
      </c>
    </row>
    <row r="72">
      <c r="A72" t="str">
        <v>CLUB ESCUELA DE FUTBOL CONCEPCION</v>
      </c>
      <c r="B72" t="str">
        <v>Madrid, Madrid</v>
      </c>
      <c r="C72" t="str">
        <v>https://www.efconcepcion.com</v>
      </c>
      <c r="D72" t="str">
        <v>oficina@efconcepcion.com</v>
      </c>
      <c r="E72" t="str">
        <v>914054428</v>
      </c>
      <c r="F72" t="str">
        <v>Fútbol · RFFM</v>
      </c>
      <c r="G72" t="str">
        <v>Nuevo</v>
      </c>
      <c r="H72" t="str">
        <v/>
      </c>
      <c r="I72" t="str">
        <v/>
      </c>
      <c r="J72" t="str">
        <v>0</v>
      </c>
      <c r="K72" t="str">
        <v/>
      </c>
      <c r="L72" t="str">
        <v>Enviar Email 1</v>
      </c>
      <c r="M72" t="str">
        <v/>
      </c>
      <c r="N72" t="str">
        <v>30 equipos · Pres: DANIEL ANCA SANTOS · IG:https://www.instagram.com/e.f.concepcion_?utm_source=ig_web_button_share_sheet&amp;igsh=ZDNlZDc0MzIxN</v>
      </c>
    </row>
    <row r="73">
      <c r="A73" t="str">
        <v>ROMA C.F.</v>
      </c>
      <c r="B73" t="str">
        <v>Madrid, Madrid</v>
      </c>
      <c r="C73" t="str">
        <v>verificar</v>
      </c>
      <c r="D73" t="str">
        <v>verificar</v>
      </c>
      <c r="E73" t="str">
        <v>629874223</v>
      </c>
      <c r="F73" t="str">
        <v>Fútbol · RFFM</v>
      </c>
      <c r="G73" t="str">
        <v>Nuevo</v>
      </c>
      <c r="H73" t="str">
        <v/>
      </c>
      <c r="I73" t="str">
        <v/>
      </c>
      <c r="J73" t="str">
        <v>0</v>
      </c>
      <c r="K73" t="str">
        <v/>
      </c>
      <c r="L73" t="str">
        <v>Enviar Email 1</v>
      </c>
      <c r="M73" t="str">
        <v/>
      </c>
      <c r="N73" t="str">
        <v>2 equipos · Pres: LUIS PEREIRA RODRIGUEZ</v>
      </c>
    </row>
    <row r="74">
      <c r="A74" t="str">
        <v>S.A.D. FUNDACIÓN C.D. RECUERDO</v>
      </c>
      <c r="B74" t="str">
        <v>Madrid, Madrid</v>
      </c>
      <c r="C74" t="str">
        <v>verificar</v>
      </c>
      <c r="D74" t="str">
        <v>verificar</v>
      </c>
      <c r="E74" t="str">
        <v>913022640</v>
      </c>
      <c r="F74" t="str">
        <v>Fútbol · RFFM</v>
      </c>
      <c r="G74" t="str">
        <v>Nuevo</v>
      </c>
      <c r="H74" t="str">
        <v/>
      </c>
      <c r="I74" t="str">
        <v/>
      </c>
      <c r="J74" t="str">
        <v>0</v>
      </c>
      <c r="K74" t="str">
        <v/>
      </c>
      <c r="L74" t="str">
        <v>Enviar Email 1</v>
      </c>
      <c r="M74" t="str">
        <v/>
      </c>
      <c r="N74" t="str">
        <v>17 equipos · Pres: ANTONIO VERA GONZALEZ</v>
      </c>
    </row>
    <row r="75">
      <c r="A75" t="str">
        <v>U.D. SAN SEBASTIAN DE LOS REYES S.A.D.</v>
      </c>
      <c r="B75" t="str">
        <v>San Sebastián De Los Reyes, Madrid</v>
      </c>
      <c r="C75" t="str">
        <v>https://www.ud-sanse.com</v>
      </c>
      <c r="D75" t="str">
        <v>info@ud-sanse.com</v>
      </c>
      <c r="E75" t="str">
        <v>916518654</v>
      </c>
      <c r="F75" t="str">
        <v>Fútbol · RFFM</v>
      </c>
      <c r="G75" t="str">
        <v>Nuevo</v>
      </c>
      <c r="H75" t="str">
        <v/>
      </c>
      <c r="I75" t="str">
        <v/>
      </c>
      <c r="J75" t="str">
        <v>0</v>
      </c>
      <c r="K75" t="str">
        <v/>
      </c>
      <c r="L75" t="str">
        <v>Enviar Email 1</v>
      </c>
      <c r="M75" t="str">
        <v/>
      </c>
      <c r="N75" t="str">
        <v>34 equipos · Pres: JAVIER GOMEZ FERNANDEZ</v>
      </c>
    </row>
    <row r="76">
      <c r="A76" t="str">
        <v>C.D. VILLA DEL PRADO</v>
      </c>
      <c r="B76" t="str">
        <v>Villa Del Prado, Madrid</v>
      </c>
      <c r="C76" t="str">
        <v>verificar</v>
      </c>
      <c r="D76" t="str">
        <v>info.cdvilladelprado@gmail.com</v>
      </c>
      <c r="E76" t="str">
        <v>636477781</v>
      </c>
      <c r="F76" t="str">
        <v>Fútbol · RFFM</v>
      </c>
      <c r="G76" t="str">
        <v>Nuevo</v>
      </c>
      <c r="H76" t="str">
        <v/>
      </c>
      <c r="I76" t="str">
        <v/>
      </c>
      <c r="J76" t="str">
        <v>0</v>
      </c>
      <c r="K76" t="str">
        <v/>
      </c>
      <c r="L76" t="str">
        <v>Enviar Email 1</v>
      </c>
      <c r="M76" t="str">
        <v/>
      </c>
      <c r="N76" t="str">
        <v>16 equipos · Pres: LUIS ESTEVEZ DURAN · FB:https://www.facebook.com/ClubDeportivoVillaDelPrado/</v>
      </c>
    </row>
    <row r="77">
      <c r="A77" t="str">
        <v>A.D. VILLAVICIOSA DE ODON</v>
      </c>
      <c r="B77" t="str">
        <v>Villaviciosa De Odón, Madrid</v>
      </c>
      <c r="C77" t="str">
        <v>https://www.advillaviciosadeodon.com</v>
      </c>
      <c r="D77" t="str">
        <v>info@advillaviciosadeodon.com</v>
      </c>
      <c r="E77" t="str">
        <v>916165076</v>
      </c>
      <c r="F77" t="str">
        <v>Fútbol · RFFM</v>
      </c>
      <c r="G77" t="str">
        <v>Nuevo</v>
      </c>
      <c r="H77" t="str">
        <v/>
      </c>
      <c r="I77" t="str">
        <v/>
      </c>
      <c r="J77" t="str">
        <v>0</v>
      </c>
      <c r="K77" t="str">
        <v/>
      </c>
      <c r="L77" t="str">
        <v>Enviar Email 1</v>
      </c>
      <c r="M77" t="str">
        <v/>
      </c>
      <c r="N77" t="str">
        <v>45 equipos · Pres: FRANCISCO JAVIER MORA ENCINAS</v>
      </c>
    </row>
    <row r="78">
      <c r="A78" t="str">
        <v>C.D. GALAPAGAR</v>
      </c>
      <c r="B78" t="str">
        <v>Galapagar, Madrid</v>
      </c>
      <c r="C78" t="str">
        <v>https://www.cdgalapagar.com</v>
      </c>
      <c r="D78" t="str">
        <v>cdgalapagar@gmail.com</v>
      </c>
      <c r="E78" t="str">
        <v>918526466</v>
      </c>
      <c r="F78" t="str">
        <v>Fútbol · RFFM</v>
      </c>
      <c r="G78" t="str">
        <v>Nuevo</v>
      </c>
      <c r="H78" t="str">
        <v/>
      </c>
      <c r="I78" t="str">
        <v/>
      </c>
      <c r="J78" t="str">
        <v>0</v>
      </c>
      <c r="K78" t="str">
        <v/>
      </c>
      <c r="L78" t="str">
        <v>Enviar Email 1</v>
      </c>
      <c r="M78" t="str">
        <v/>
      </c>
      <c r="N78" t="str">
        <v>45 equipos · Pres: JORGE ANTONIO GRECIANO FERNANDEZ</v>
      </c>
    </row>
    <row r="79">
      <c r="A79" t="str">
        <v>ATLETICO CERCEDILLA</v>
      </c>
      <c r="B79" t="str">
        <v>Cercedilla, Madrid</v>
      </c>
      <c r="C79" t="str">
        <v>verificar</v>
      </c>
      <c r="D79" t="str">
        <v>clubat.cercedilla74@gmail.com</v>
      </c>
      <c r="E79" t="str">
        <v>650888242</v>
      </c>
      <c r="F79" t="str">
        <v>Fútbol · RFFM</v>
      </c>
      <c r="G79" t="str">
        <v>Nuevo</v>
      </c>
      <c r="H79" t="str">
        <v/>
      </c>
      <c r="I79" t="str">
        <v/>
      </c>
      <c r="J79" t="str">
        <v>0</v>
      </c>
      <c r="K79" t="str">
        <v/>
      </c>
      <c r="L79" t="str">
        <v>Enviar Email 1</v>
      </c>
      <c r="M79" t="str">
        <v/>
      </c>
      <c r="N79" t="str">
        <v>5 equipos · Pres: MARIA YOLANDA RICO BARCIA</v>
      </c>
    </row>
    <row r="80">
      <c r="A80" t="str">
        <v>C.D. SAN ROQUE E.F.F.</v>
      </c>
      <c r="B80" t="str">
        <v>Madrid, Madrid</v>
      </c>
      <c r="C80" t="str">
        <v>https://cdsanroqueeff.com</v>
      </c>
      <c r="D80" t="str">
        <v>info.cdsanroqueeff@gmail.com</v>
      </c>
      <c r="E80" t="str">
        <v>617979233</v>
      </c>
      <c r="F80" t="str">
        <v>Fútbol · RFFM</v>
      </c>
      <c r="G80" t="str">
        <v>Nuevo</v>
      </c>
      <c r="H80" t="str">
        <v/>
      </c>
      <c r="I80" t="str">
        <v/>
      </c>
      <c r="J80" t="str">
        <v>0</v>
      </c>
      <c r="K80" t="str">
        <v/>
      </c>
      <c r="L80" t="str">
        <v>Enviar Email 1</v>
      </c>
      <c r="M80" t="str">
        <v/>
      </c>
      <c r="N80" t="str">
        <v>21 equipos · Pres: JESICA SANCHEZ VERA</v>
      </c>
    </row>
    <row r="81">
      <c r="A81" t="str">
        <v>CLUB SAN AGUSTIN</v>
      </c>
      <c r="B81" t="str">
        <v>Madrid, Madrid</v>
      </c>
      <c r="C81" t="str">
        <v>verificar</v>
      </c>
      <c r="D81" t="str">
        <v>verificar</v>
      </c>
      <c r="E81" t="str">
        <v>609788634</v>
      </c>
      <c r="F81" t="str">
        <v>Fútbol · RFFM</v>
      </c>
      <c r="G81" t="str">
        <v>Nuevo</v>
      </c>
      <c r="H81" t="str">
        <v/>
      </c>
      <c r="I81" t="str">
        <v/>
      </c>
      <c r="J81" t="str">
        <v>0</v>
      </c>
      <c r="K81" t="str">
        <v/>
      </c>
      <c r="L81" t="str">
        <v>Enviar Email 1</v>
      </c>
      <c r="M81" t="str">
        <v/>
      </c>
      <c r="N81" t="str">
        <v>21 equipos · Pres: ILDEFONSO TRIGUEROS BUENA</v>
      </c>
    </row>
    <row r="82">
      <c r="A82" t="str">
        <v>C.D. EL ALAMO</v>
      </c>
      <c r="B82" t="str">
        <v>Álamo (El), Madrid</v>
      </c>
      <c r="C82" t="str">
        <v>https://www.cdelalamo.com</v>
      </c>
      <c r="D82" t="str">
        <v>cdelalamo@cdelalamo.com</v>
      </c>
      <c r="E82" t="str">
        <v>747728162</v>
      </c>
      <c r="F82" t="str">
        <v>Fútbol · RFFM</v>
      </c>
      <c r="G82" t="str">
        <v>Nuevo</v>
      </c>
      <c r="H82" t="str">
        <v/>
      </c>
      <c r="I82" t="str">
        <v/>
      </c>
      <c r="J82" t="str">
        <v>0</v>
      </c>
      <c r="K82" t="str">
        <v/>
      </c>
      <c r="L82" t="str">
        <v>Enviar Email 1</v>
      </c>
      <c r="M82" t="str">
        <v/>
      </c>
      <c r="N82" t="str">
        <v>15 equipos · Pres: ALBERTO CARDEÑA ORGAZ · FB:linktr.ee/CD_El_Alamo</v>
      </c>
    </row>
    <row r="83">
      <c r="A83" t="str">
        <v>C.F. RACING DE VILLAVERDE</v>
      </c>
      <c r="B83" t="str">
        <v>Madrid, Madrid</v>
      </c>
      <c r="C83" t="str">
        <v>https://escuelaracingvillaverde.es</v>
      </c>
      <c r="D83" t="str">
        <v>escuelaracingvillaverde@gmail.com</v>
      </c>
      <c r="E83" t="str">
        <v>645268259</v>
      </c>
      <c r="F83" t="str">
        <v>Fútbol · RFFM</v>
      </c>
      <c r="G83" t="str">
        <v>Nuevo</v>
      </c>
      <c r="H83" t="str">
        <v/>
      </c>
      <c r="I83" t="str">
        <v/>
      </c>
      <c r="J83" t="str">
        <v>0</v>
      </c>
      <c r="K83" t="str">
        <v/>
      </c>
      <c r="L83" t="str">
        <v>Enviar Email 1</v>
      </c>
      <c r="M83" t="str">
        <v/>
      </c>
      <c r="N83" t="str">
        <v>30 equipos · Pres: LUIS LOZANO PARIS</v>
      </c>
    </row>
    <row r="84">
      <c r="A84" t="str">
        <v>UNION DEPORTIVA SAN LORENZO</v>
      </c>
      <c r="B84" t="str">
        <v>San Lorenzo De El Escorial, Madrid</v>
      </c>
      <c r="C84" t="str">
        <v>https://www.udsanlorenzo.com</v>
      </c>
      <c r="D84" t="str">
        <v>sanlorenzouniondeportiva@gmail.com</v>
      </c>
      <c r="E84" t="str">
        <v>verificar</v>
      </c>
      <c r="F84" t="str">
        <v>Fútbol · RFFM</v>
      </c>
      <c r="G84" t="str">
        <v>Nuevo</v>
      </c>
      <c r="H84" t="str">
        <v/>
      </c>
      <c r="I84" t="str">
        <v/>
      </c>
      <c r="J84" t="str">
        <v>0</v>
      </c>
      <c r="K84" t="str">
        <v/>
      </c>
      <c r="L84" t="str">
        <v>Enviar Email 1</v>
      </c>
      <c r="M84" t="str">
        <v/>
      </c>
      <c r="N84" t="str">
        <v>8 equipos · Pres: LUIS MIGUEL JIMENEZ CIRUELOS</v>
      </c>
    </row>
    <row r="85">
      <c r="A85" t="str">
        <v>C.D. PLATA</v>
      </c>
      <c r="B85" t="str">
        <v>Madrid, Madrid</v>
      </c>
      <c r="C85" t="str">
        <v>https://cd.plata.1945@gmail.com</v>
      </c>
      <c r="D85" t="str">
        <v>cd.plata.1945@gmail.com</v>
      </c>
      <c r="E85" t="str">
        <v>606281476</v>
      </c>
      <c r="F85" t="str">
        <v>Fútbol · RFFM</v>
      </c>
      <c r="G85" t="str">
        <v>Nuevo</v>
      </c>
      <c r="H85" t="str">
        <v/>
      </c>
      <c r="I85" t="str">
        <v/>
      </c>
      <c r="J85" t="str">
        <v>0</v>
      </c>
      <c r="K85" t="str">
        <v/>
      </c>
      <c r="L85" t="str">
        <v>Enviar Email 1</v>
      </c>
      <c r="M85" t="str">
        <v/>
      </c>
      <c r="N85" t="str">
        <v>1 equipos · Pres: Mª DOLORES REDONDO CORRALES · FB:Club Deportivo Plata · IG:@CDPlata1945</v>
      </c>
    </row>
    <row r="86">
      <c r="A86" t="str">
        <v>C.D. CANILLAS</v>
      </c>
      <c r="B86" t="str">
        <v>Madrid, Madrid</v>
      </c>
      <c r="C86" t="str">
        <v>https://www.cdcanillas.com</v>
      </c>
      <c r="D86" t="str">
        <v>administracion@cdcanillas.com</v>
      </c>
      <c r="E86" t="str">
        <v>913821049</v>
      </c>
      <c r="F86" t="str">
        <v>Fútbol · RFFM</v>
      </c>
      <c r="G86" t="str">
        <v>Nuevo</v>
      </c>
      <c r="H86" t="str">
        <v/>
      </c>
      <c r="I86" t="str">
        <v/>
      </c>
      <c r="J86" t="str">
        <v>0</v>
      </c>
      <c r="K86" t="str">
        <v/>
      </c>
      <c r="L86" t="str">
        <v>Enviar Email 1</v>
      </c>
      <c r="M86" t="str">
        <v/>
      </c>
      <c r="N86" t="str">
        <v>32 equipos · Pres: LUIS FERNANDO HERRERO BLANCO</v>
      </c>
    </row>
    <row r="87">
      <c r="A87" t="str">
        <v>C.D. FORTUNA</v>
      </c>
      <c r="B87" t="str">
        <v>0, Madrid</v>
      </c>
      <c r="C87" t="str">
        <v>https://cdfortuna.es</v>
      </c>
      <c r="D87" t="str">
        <v>c.d.fortuna@hotmail.es</v>
      </c>
      <c r="E87" t="str">
        <v>916198180</v>
      </c>
      <c r="F87" t="str">
        <v>Fútbol · RFFM</v>
      </c>
      <c r="G87" t="str">
        <v>Nuevo</v>
      </c>
      <c r="H87" t="str">
        <v/>
      </c>
      <c r="I87" t="str">
        <v/>
      </c>
      <c r="J87" t="str">
        <v>0</v>
      </c>
      <c r="K87" t="str">
        <v/>
      </c>
      <c r="L87" t="str">
        <v>Enviar Email 1</v>
      </c>
      <c r="M87" t="str">
        <v/>
      </c>
      <c r="N87" t="str">
        <v>15 equipos · Pres: JOSE ANTONIO BLANCO RUIZ · IG:https://www.instagram.com/efcdfortuna</v>
      </c>
    </row>
    <row r="88">
      <c r="A88" t="str">
        <v>C.F. ATLETICO VALDEIGLESIAS</v>
      </c>
      <c r="B88" t="str">
        <v>San Martín De Valdeiglesias, Madrid</v>
      </c>
      <c r="C88" t="str">
        <v>https://www.atleticovaldeiglesias.com</v>
      </c>
      <c r="D88" t="str">
        <v>cfatleticovaldeiglesias@yahoo.es</v>
      </c>
      <c r="E88" t="str">
        <v>646548156</v>
      </c>
      <c r="F88" t="str">
        <v>Fútbol · RFFM</v>
      </c>
      <c r="G88" t="str">
        <v>Nuevo</v>
      </c>
      <c r="H88" t="str">
        <v/>
      </c>
      <c r="I88" t="str">
        <v/>
      </c>
      <c r="J88" t="str">
        <v>0</v>
      </c>
      <c r="K88" t="str">
        <v/>
      </c>
      <c r="L88" t="str">
        <v>Enviar Email 1</v>
      </c>
      <c r="M88" t="str">
        <v/>
      </c>
      <c r="N88" t="str">
        <v>21 equipos · Pres: LUIS FRANCISCO DEL MONTE CARLA</v>
      </c>
    </row>
    <row r="89">
      <c r="A89" t="str">
        <v>A.D. PARQUE EUROPA</v>
      </c>
      <c r="B89" t="str">
        <v>Madrid, Madrid</v>
      </c>
      <c r="C89" t="str">
        <v>https://.</v>
      </c>
      <c r="D89" t="str">
        <v>ad.parqueeuropa1973@gmail.com</v>
      </c>
      <c r="E89" t="str">
        <v>676304675</v>
      </c>
      <c r="F89" t="str">
        <v>Fútbol · RFFM</v>
      </c>
      <c r="G89" t="str">
        <v>Nuevo</v>
      </c>
      <c r="H89" t="str">
        <v/>
      </c>
      <c r="I89" t="str">
        <v/>
      </c>
      <c r="J89" t="str">
        <v>0</v>
      </c>
      <c r="K89" t="str">
        <v/>
      </c>
      <c r="L89" t="str">
        <v>Enviar Email 1</v>
      </c>
      <c r="M89" t="str">
        <v/>
      </c>
      <c r="N89" t="str">
        <v>1 equipos · Pres: JUSTO FRANCO MORA · IG:@ADPARQUEEUROPA1973</v>
      </c>
    </row>
    <row r="90">
      <c r="A90" t="str">
        <v>CAMARMA C.F.</v>
      </c>
      <c r="B90" t="str">
        <v>Camarma De Esteruelas, Madrid</v>
      </c>
      <c r="C90" t="str">
        <v>https://camarmacf.ffmadrid.org</v>
      </c>
      <c r="D90" t="str">
        <v>camarmacf@hotmail.com</v>
      </c>
      <c r="E90" t="str">
        <v>609387898</v>
      </c>
      <c r="F90" t="str">
        <v>Fútbol · RFFM</v>
      </c>
      <c r="G90" t="str">
        <v>Nuevo</v>
      </c>
      <c r="H90" t="str">
        <v/>
      </c>
      <c r="I90" t="str">
        <v/>
      </c>
      <c r="J90" t="str">
        <v>0</v>
      </c>
      <c r="K90" t="str">
        <v/>
      </c>
      <c r="L90" t="str">
        <v>Enviar Email 1</v>
      </c>
      <c r="M90" t="str">
        <v/>
      </c>
      <c r="N90" t="str">
        <v>11 equipos · Pres: MANUEL HUELVA FERNANDEZ</v>
      </c>
    </row>
    <row r="91">
      <c r="A91" t="str">
        <v>ESC. MPAL. DE FUT. AGUILAS DE MORATALAZ</v>
      </c>
      <c r="B91" t="str">
        <v>Madrid, Madrid</v>
      </c>
      <c r="C91" t="str">
        <v>https://www.aguilasdemoratalaz.com</v>
      </c>
      <c r="D91" t="str">
        <v>contacto@aguilasdemoratalaz.com</v>
      </c>
      <c r="E91" t="str">
        <v>627373172</v>
      </c>
      <c r="F91" t="str">
        <v>Fútbol · RFFM</v>
      </c>
      <c r="G91" t="str">
        <v>Nuevo</v>
      </c>
      <c r="H91" t="str">
        <v/>
      </c>
      <c r="I91" t="str">
        <v/>
      </c>
      <c r="J91" t="str">
        <v>0</v>
      </c>
      <c r="K91" t="str">
        <v/>
      </c>
      <c r="L91" t="str">
        <v>Enviar Email 1</v>
      </c>
      <c r="M91" t="str">
        <v/>
      </c>
      <c r="N91" t="str">
        <v>22 equipos · Pres: VICTOR ALCAZAR DE DIOS</v>
      </c>
    </row>
    <row r="92">
      <c r="A92" t="str">
        <v>C.D. HUMANES</v>
      </c>
      <c r="B92" t="str">
        <v>Humanes De Madrid, Madrid</v>
      </c>
      <c r="C92" t="str">
        <v>verificar</v>
      </c>
      <c r="D92" t="str">
        <v>verificar</v>
      </c>
      <c r="E92" t="str">
        <v>659253697</v>
      </c>
      <c r="F92" t="str">
        <v>Fútbol · RFFM</v>
      </c>
      <c r="G92" t="str">
        <v>Nuevo</v>
      </c>
      <c r="H92" t="str">
        <v/>
      </c>
      <c r="I92" t="str">
        <v/>
      </c>
      <c r="J92" t="str">
        <v>0</v>
      </c>
      <c r="K92" t="str">
        <v/>
      </c>
      <c r="L92" t="str">
        <v>Enviar Email 1</v>
      </c>
      <c r="M92" t="str">
        <v/>
      </c>
      <c r="N92" t="str">
        <v>6 equipos · Pres: EMILIO DE LA ROSA MONTOYA · IG:cdhumanesof</v>
      </c>
    </row>
    <row r="93">
      <c r="A93" t="str">
        <v>A.D. SPORTING HORTALEZA</v>
      </c>
      <c r="B93" t="str">
        <v>Madrid, Madrid</v>
      </c>
      <c r="C93" t="str">
        <v>https://adsportingdehortaleza.com</v>
      </c>
      <c r="D93" t="str">
        <v>sportingdehortaleza@gmail.com</v>
      </c>
      <c r="E93" t="str">
        <v>649926752</v>
      </c>
      <c r="F93" t="str">
        <v>Fútbol · RFFM</v>
      </c>
      <c r="G93" t="str">
        <v>Nuevo</v>
      </c>
      <c r="H93" t="str">
        <v/>
      </c>
      <c r="I93" t="str">
        <v/>
      </c>
      <c r="J93" t="str">
        <v>0</v>
      </c>
      <c r="K93" t="str">
        <v/>
      </c>
      <c r="L93" t="str">
        <v>Enviar Email 1</v>
      </c>
      <c r="M93" t="str">
        <v/>
      </c>
      <c r="N93" t="str">
        <v>50 equipos · Pres: MIGUEL ROMON GARCIA</v>
      </c>
    </row>
    <row r="94">
      <c r="A94" t="str">
        <v>GETAFE C.F. S.A.D.</v>
      </c>
      <c r="B94" t="str">
        <v>Getafe, Madrid</v>
      </c>
      <c r="C94" t="str">
        <v>https://www.getafecf.com</v>
      </c>
      <c r="D94" t="str">
        <v>operaciones@getafecf.com</v>
      </c>
      <c r="E94" t="str">
        <v>916959643</v>
      </c>
      <c r="F94" t="str">
        <v>Fútbol · RFFM</v>
      </c>
      <c r="G94" t="str">
        <v>Nuevo</v>
      </c>
      <c r="H94" t="str">
        <v/>
      </c>
      <c r="I94" t="str">
        <v/>
      </c>
      <c r="J94" t="str">
        <v>0</v>
      </c>
      <c r="K94" t="str">
        <v/>
      </c>
      <c r="L94" t="str">
        <v>Enviar Email 1</v>
      </c>
      <c r="M94" t="str">
        <v/>
      </c>
      <c r="N94" t="str">
        <v>37 equipos · Pres: ANGEL TORRES SANCHEZ</v>
      </c>
    </row>
    <row r="95">
      <c r="A95" t="str">
        <v>U.D. VELILLA</v>
      </c>
      <c r="B95" t="str">
        <v>Velilla De San Antonio, Madrid</v>
      </c>
      <c r="C95" t="str">
        <v>https://www.udvelilla.com</v>
      </c>
      <c r="D95" t="str">
        <v>udvelilla@gmail.com</v>
      </c>
      <c r="E95" t="str">
        <v>639025150</v>
      </c>
      <c r="F95" t="str">
        <v>Fútbol · RFFM</v>
      </c>
      <c r="G95" t="str">
        <v>Nuevo</v>
      </c>
      <c r="H95" t="str">
        <v/>
      </c>
      <c r="I95" t="str">
        <v/>
      </c>
      <c r="J95" t="str">
        <v>0</v>
      </c>
      <c r="K95" t="str">
        <v/>
      </c>
      <c r="L95" t="str">
        <v>Enviar Email 1</v>
      </c>
      <c r="M95" t="str">
        <v/>
      </c>
      <c r="N95" t="str">
        <v>20 equipos · Pres: JOSE MIGUEL MOYA MUNERA</v>
      </c>
    </row>
    <row r="96">
      <c r="A96" t="str">
        <v>C.D. VICALVARO</v>
      </c>
      <c r="B96" t="str">
        <v>Madrid, Madrid</v>
      </c>
      <c r="C96" t="str">
        <v>https://cdvical@gmail.com</v>
      </c>
      <c r="D96" t="str">
        <v>cdvical@gmail.com</v>
      </c>
      <c r="E96" t="str">
        <v>659750121</v>
      </c>
      <c r="F96" t="str">
        <v>Fútbol · RFFM</v>
      </c>
      <c r="G96" t="str">
        <v>Nuevo</v>
      </c>
      <c r="H96" t="str">
        <v/>
      </c>
      <c r="I96" t="str">
        <v/>
      </c>
      <c r="J96" t="str">
        <v>0</v>
      </c>
      <c r="K96" t="str">
        <v/>
      </c>
      <c r="L96" t="str">
        <v>Enviar Email 1</v>
      </c>
      <c r="M96" t="str">
        <v/>
      </c>
      <c r="N96" t="str">
        <v>41 equipos · Pres: JOSE MANUEL PEREIRA RODRIGUEZ</v>
      </c>
    </row>
    <row r="97">
      <c r="A97" t="str">
        <v>C.R. GUINDALERA</v>
      </c>
      <c r="B97" t="str">
        <v>Madrid, Madrid</v>
      </c>
      <c r="C97" t="str">
        <v>https://www.crguindalera1924.es</v>
      </c>
      <c r="D97" t="str">
        <v>crguindalera1924@gmail.com</v>
      </c>
      <c r="E97" t="str">
        <v>659334513</v>
      </c>
      <c r="F97" t="str">
        <v>Fútbol · RFFM</v>
      </c>
      <c r="G97" t="str">
        <v>Nuevo</v>
      </c>
      <c r="H97" t="str">
        <v/>
      </c>
      <c r="I97" t="str">
        <v/>
      </c>
      <c r="J97" t="str">
        <v>0</v>
      </c>
      <c r="K97" t="str">
        <v/>
      </c>
      <c r="L97" t="str">
        <v>Enviar Email 1</v>
      </c>
      <c r="M97" t="str">
        <v/>
      </c>
      <c r="N97" t="str">
        <v>22 equipos · Pres: JESUS MANUEL SANCHEZ RESINO · IG:@guindalera_crg</v>
      </c>
    </row>
    <row r="98">
      <c r="A98" t="str">
        <v>C.D. AVANCE</v>
      </c>
      <c r="B98" t="str">
        <v>Alcalá De Henares, Madrid</v>
      </c>
      <c r="C98" t="str">
        <v>https://www.cdavance.es</v>
      </c>
      <c r="D98" t="str">
        <v>escueladefutbol@cdavance.es</v>
      </c>
      <c r="E98" t="str">
        <v>918824035</v>
      </c>
      <c r="F98" t="str">
        <v>Fútbol · RFFM</v>
      </c>
      <c r="G98" t="str">
        <v>Nuevo</v>
      </c>
      <c r="H98" t="str">
        <v/>
      </c>
      <c r="I98" t="str">
        <v/>
      </c>
      <c r="J98" t="str">
        <v>0</v>
      </c>
      <c r="K98" t="str">
        <v/>
      </c>
      <c r="L98" t="str">
        <v>Enviar Email 1</v>
      </c>
      <c r="M98" t="str">
        <v/>
      </c>
      <c r="N98" t="str">
        <v>28 equipos · Pres: PABLO DE LUCAS JIMENEZ</v>
      </c>
    </row>
    <row r="99">
      <c r="A99" t="str">
        <v>ESCUELA DEPORTIVA MORATALAZ</v>
      </c>
      <c r="B99" t="str">
        <v>Madrid, Madrid</v>
      </c>
      <c r="C99" t="str">
        <v>https://edmoratalaz.com</v>
      </c>
      <c r="D99" t="str">
        <v>secretaria@edmoratalaz.com</v>
      </c>
      <c r="E99" t="str">
        <v>681164330</v>
      </c>
      <c r="F99" t="str">
        <v>Fútbol · RFFM</v>
      </c>
      <c r="G99" t="str">
        <v>Nuevo</v>
      </c>
      <c r="H99" t="str">
        <v/>
      </c>
      <c r="I99" t="str">
        <v/>
      </c>
      <c r="J99" t="str">
        <v>0</v>
      </c>
      <c r="K99" t="str">
        <v/>
      </c>
      <c r="L99" t="str">
        <v>Enviar Email 1</v>
      </c>
      <c r="M99" t="str">
        <v/>
      </c>
      <c r="N99" t="str">
        <v>37 equipos · Pres: JESUS RECIO ORTEGA · IG:https://www.instagram.com/edmoratalaz/</v>
      </c>
    </row>
    <row r="100">
      <c r="A100" t="str">
        <v>A.D. PIQUEÑAS</v>
      </c>
      <c r="B100" t="str">
        <v>Madrid, Madrid</v>
      </c>
      <c r="C100" t="str">
        <v>verificar</v>
      </c>
      <c r="D100" t="str">
        <v>direcciondeportiva@adpiquenas.es</v>
      </c>
      <c r="E100" t="str">
        <v>609820928</v>
      </c>
      <c r="F100" t="str">
        <v>Fútbol · RFFM</v>
      </c>
      <c r="G100" t="str">
        <v>Nuevo</v>
      </c>
      <c r="H100" t="str">
        <v/>
      </c>
      <c r="I100" t="str">
        <v/>
      </c>
      <c r="J100" t="str">
        <v>0</v>
      </c>
      <c r="K100" t="str">
        <v/>
      </c>
      <c r="L100" t="str">
        <v>Enviar Email 1</v>
      </c>
      <c r="M100" t="str">
        <v/>
      </c>
      <c r="N100" t="str">
        <v>25 equipos · Pres: FRANCISCO RAMON TORRES SANTOS · IG:piquenas1967</v>
      </c>
    </row>
    <row r="101">
      <c r="A101" t="str">
        <v>C.D. DOSA</v>
      </c>
      <c r="B101" t="str">
        <v>Madrid, Madrid</v>
      </c>
      <c r="C101" t="str">
        <v>https://dosa.ffmadrid.org</v>
      </c>
      <c r="D101" t="str">
        <v>eddosa@domingosavio.com</v>
      </c>
      <c r="E101" t="str">
        <v>913683099</v>
      </c>
      <c r="F101" t="str">
        <v>Fútbol · RFFM</v>
      </c>
      <c r="G101" t="str">
        <v>Nuevo</v>
      </c>
      <c r="H101" t="str">
        <v/>
      </c>
      <c r="I101" t="str">
        <v/>
      </c>
      <c r="J101" t="str">
        <v>0</v>
      </c>
      <c r="K101" t="str">
        <v/>
      </c>
      <c r="L101" t="str">
        <v>Enviar Email 1</v>
      </c>
      <c r="M101" t="str">
        <v/>
      </c>
      <c r="N101" t="str">
        <v>26 equipos · Pres: DEOGRACIAS GONZALEZ PASCUAL</v>
      </c>
    </row>
    <row r="102">
      <c r="A102" t="str">
        <v>ESC.FUT.AT. CASARRUBUELOS</v>
      </c>
      <c r="B102" t="str">
        <v>Casarrubuelos, Madrid</v>
      </c>
      <c r="C102" t="str">
        <v>https://www.efatleticocasarrubuelos.es</v>
      </c>
      <c r="D102" t="str">
        <v>info@efatleticocasarrubuelos.es</v>
      </c>
      <c r="E102" t="str">
        <v>691845746</v>
      </c>
      <c r="F102" t="str">
        <v>Fútbol · RFFM</v>
      </c>
      <c r="G102" t="str">
        <v>Nuevo</v>
      </c>
      <c r="H102" t="str">
        <v/>
      </c>
      <c r="I102" t="str">
        <v/>
      </c>
      <c r="J102" t="str">
        <v>0</v>
      </c>
      <c r="K102" t="str">
        <v/>
      </c>
      <c r="L102" t="str">
        <v>Enviar Email 1</v>
      </c>
      <c r="M102" t="str">
        <v/>
      </c>
      <c r="N102" t="str">
        <v>29 equipos · Pres: IVAN MARTIN FERNANDEZ · FB:https://www.facebook.com/atleticocasarrubuelos · IG:@atleticocasarrubuelos</v>
      </c>
    </row>
    <row r="103">
      <c r="A103" t="str">
        <v>C.D.B. COSLADA</v>
      </c>
      <c r="B103" t="str">
        <v>Coslada, Madrid</v>
      </c>
      <c r="C103" t="str">
        <v>https://www.cdcoslada.es</v>
      </c>
      <c r="D103" t="str">
        <v>oficinas@cdcoslada.es</v>
      </c>
      <c r="E103" t="str">
        <v>628463456</v>
      </c>
      <c r="F103" t="str">
        <v>Fútbol · RFFM</v>
      </c>
      <c r="G103" t="str">
        <v>Nuevo</v>
      </c>
      <c r="H103" t="str">
        <v/>
      </c>
      <c r="I103" t="str">
        <v/>
      </c>
      <c r="J103" t="str">
        <v>0</v>
      </c>
      <c r="K103" t="str">
        <v/>
      </c>
      <c r="L103" t="str">
        <v>Enviar Email 1</v>
      </c>
      <c r="M103" t="str">
        <v/>
      </c>
      <c r="N103" t="str">
        <v>24 equipos · Pres: JOSE ANGEL VARGAS MANZANO</v>
      </c>
    </row>
    <row r="104">
      <c r="A104" t="str">
        <v>MORALZARZAL C.F.</v>
      </c>
      <c r="B104" t="str">
        <v>Moralzarzal, Madrid</v>
      </c>
      <c r="C104" t="str">
        <v>https://moralzarzalclubdefutbol.com/</v>
      </c>
      <c r="D104" t="str">
        <v>moralzarzalcdf@gmail.com</v>
      </c>
      <c r="E104" t="str">
        <v>633457812</v>
      </c>
      <c r="F104" t="str">
        <v>Fútbol · RFFM</v>
      </c>
      <c r="G104" t="str">
        <v>Nuevo</v>
      </c>
      <c r="H104" t="str">
        <v/>
      </c>
      <c r="I104" t="str">
        <v/>
      </c>
      <c r="J104" t="str">
        <v>0</v>
      </c>
      <c r="K104" t="str">
        <v/>
      </c>
      <c r="L104" t="str">
        <v>Enviar Email 1</v>
      </c>
      <c r="M104" t="str">
        <v/>
      </c>
      <c r="N104" t="str">
        <v>15 equipos · Pres: ANGEL SEGOVIA CALDERON · FB:https://www.facebook.com/MoralzarzalClubdeFutbol</v>
      </c>
    </row>
    <row r="105">
      <c r="A105" t="str">
        <v>AGRUPACION C.D. LUCERO LINCES</v>
      </c>
      <c r="B105" t="str">
        <v>Madrid, Madrid</v>
      </c>
      <c r="C105" t="str">
        <v>verificar</v>
      </c>
      <c r="D105" t="str">
        <v>cdlucerolinces@gmail.com</v>
      </c>
      <c r="E105" t="str">
        <v>616386386</v>
      </c>
      <c r="F105" t="str">
        <v>Fútbol · RFFM</v>
      </c>
      <c r="G105" t="str">
        <v>Nuevo</v>
      </c>
      <c r="H105" t="str">
        <v/>
      </c>
      <c r="I105" t="str">
        <v/>
      </c>
      <c r="J105" t="str">
        <v>0</v>
      </c>
      <c r="K105" t="str">
        <v/>
      </c>
      <c r="L105" t="str">
        <v>Enviar Email 1</v>
      </c>
      <c r="M105" t="str">
        <v/>
      </c>
      <c r="N105" t="str">
        <v>25 equipos · Pres: MANUEL ANGEL PITA GARCIA</v>
      </c>
    </row>
    <row r="106">
      <c r="A106" t="str">
        <v>U.D. LA PAZ VALLEHERMOSO</v>
      </c>
      <c r="B106" t="str">
        <v>Madrid, Madrid</v>
      </c>
      <c r="C106" t="str">
        <v>verificar</v>
      </c>
      <c r="D106" t="str">
        <v>jorge@suarezfernandez.es</v>
      </c>
      <c r="E106" t="str">
        <v>606239507</v>
      </c>
      <c r="F106" t="str">
        <v>Fútbol · RFFM</v>
      </c>
      <c r="G106" t="str">
        <v>Nuevo</v>
      </c>
      <c r="H106" t="str">
        <v/>
      </c>
      <c r="I106" t="str">
        <v/>
      </c>
      <c r="J106" t="str">
        <v>0</v>
      </c>
      <c r="K106" t="str">
        <v/>
      </c>
      <c r="L106" t="str">
        <v>Enviar Email 1</v>
      </c>
      <c r="M106" t="str">
        <v/>
      </c>
      <c r="N106" t="str">
        <v>1 equipos · Pres: JORGE SUAREZ FERNANDEZ</v>
      </c>
    </row>
    <row r="107">
      <c r="A107" t="str">
        <v>NTRA. SRA. DEL BUEN CONSEJO</v>
      </c>
      <c r="B107" t="str">
        <v>Madrid, Madrid</v>
      </c>
      <c r="C107" t="str">
        <v>verificar</v>
      </c>
      <c r="D107" t="str">
        <v>futbol@cbcmadrid.es</v>
      </c>
      <c r="E107" t="str">
        <v>914561870</v>
      </c>
      <c r="F107" t="str">
        <v>Fútbol · RFFM</v>
      </c>
      <c r="G107" t="str">
        <v>Nuevo</v>
      </c>
      <c r="H107" t="str">
        <v/>
      </c>
      <c r="I107" t="str">
        <v/>
      </c>
      <c r="J107" t="str">
        <v>0</v>
      </c>
      <c r="K107" t="str">
        <v/>
      </c>
      <c r="L107" t="str">
        <v>Enviar Email 1</v>
      </c>
      <c r="M107" t="str">
        <v/>
      </c>
      <c r="N107" t="str">
        <v>14 equipos · Pres: JESUS SEDANO PEREZ</v>
      </c>
    </row>
    <row r="108">
      <c r="A108" t="str">
        <v>ATLETICO ALCALA</v>
      </c>
      <c r="B108" t="str">
        <v>Alcalá De Henares, Madrid</v>
      </c>
      <c r="C108" t="str">
        <v>https://www.clubatleticoalcala.com/</v>
      </c>
      <c r="D108" t="str">
        <v>verificar</v>
      </c>
      <c r="E108" t="str">
        <v>664233957</v>
      </c>
      <c r="F108" t="str">
        <v>Fútbol · RFFM</v>
      </c>
      <c r="G108" t="str">
        <v>Nuevo</v>
      </c>
      <c r="H108" t="str">
        <v/>
      </c>
      <c r="I108" t="str">
        <v/>
      </c>
      <c r="J108" t="str">
        <v>0</v>
      </c>
      <c r="K108" t="str">
        <v/>
      </c>
      <c r="L108" t="str">
        <v>Enviar Email 1</v>
      </c>
      <c r="M108" t="str">
        <v/>
      </c>
      <c r="N108" t="str">
        <v>12 equipos · Pres: IVAN MATEO BUSTAMANTE · FB:https://www.facebook.com/ClubAtleticoAlcala</v>
      </c>
    </row>
    <row r="109">
      <c r="A109" t="str">
        <v>NUEVO PINTO C.F.</v>
      </c>
      <c r="B109" t="str">
        <v>Pinto, Madrid</v>
      </c>
      <c r="C109" t="str">
        <v>https://www.nuevopintocf.com</v>
      </c>
      <c r="D109" t="str">
        <v>salonpinto@hotmail.es</v>
      </c>
      <c r="E109" t="str">
        <v>609507913</v>
      </c>
      <c r="F109" t="str">
        <v>Fútbol · RFFM</v>
      </c>
      <c r="G109" t="str">
        <v>Nuevo</v>
      </c>
      <c r="H109" t="str">
        <v/>
      </c>
      <c r="I109" t="str">
        <v/>
      </c>
      <c r="J109" t="str">
        <v>0</v>
      </c>
      <c r="K109" t="str">
        <v/>
      </c>
      <c r="L109" t="str">
        <v>Enviar Email 1</v>
      </c>
      <c r="M109" t="str">
        <v/>
      </c>
      <c r="N109" t="str">
        <v>25 equipos · Pres: DAVID SANCHEZ GOMEZ</v>
      </c>
    </row>
    <row r="110">
      <c r="A110" t="str">
        <v>C.D. SANTA EUGENIA 1976</v>
      </c>
      <c r="B110" t="str">
        <v>Madrid, Madrid</v>
      </c>
      <c r="C110" t="str">
        <v>verificar</v>
      </c>
      <c r="D110" t="str">
        <v>cdsantaeugenia1976@gmail.com</v>
      </c>
      <c r="E110" t="str">
        <v>605501327</v>
      </c>
      <c r="F110" t="str">
        <v>Fútbol · RFFM</v>
      </c>
      <c r="G110" t="str">
        <v>Nuevo</v>
      </c>
      <c r="H110" t="str">
        <v/>
      </c>
      <c r="I110" t="str">
        <v/>
      </c>
      <c r="J110" t="str">
        <v>0</v>
      </c>
      <c r="K110" t="str">
        <v/>
      </c>
      <c r="L110" t="str">
        <v>Enviar Email 1</v>
      </c>
      <c r="M110" t="str">
        <v/>
      </c>
      <c r="N110" t="str">
        <v>19 equipos · Pres: LUIS PEREZ HURTADO</v>
      </c>
    </row>
    <row r="111">
      <c r="A111" t="str">
        <v>A.D. HENARES D.IV</v>
      </c>
      <c r="B111" t="str">
        <v>Alcalá De Henares, Madrid</v>
      </c>
      <c r="C111" t="str">
        <v>verificar</v>
      </c>
      <c r="D111" t="str">
        <v>verificar</v>
      </c>
      <c r="E111" t="str">
        <v>618098580</v>
      </c>
      <c r="F111" t="str">
        <v>Fútbol · RFFM</v>
      </c>
      <c r="G111" t="str">
        <v>Nuevo</v>
      </c>
      <c r="H111" t="str">
        <v/>
      </c>
      <c r="I111" t="str">
        <v/>
      </c>
      <c r="J111" t="str">
        <v>0</v>
      </c>
      <c r="K111" t="str">
        <v/>
      </c>
      <c r="L111" t="str">
        <v>Enviar Email 1</v>
      </c>
      <c r="M111" t="str">
        <v/>
      </c>
      <c r="N111" t="str">
        <v>17 equipos · Pres: LUIS MARIANO DONCEL GARCIA MORALES</v>
      </c>
    </row>
    <row r="112">
      <c r="A112" t="str">
        <v>C.D. CAMPAMENTO</v>
      </c>
      <c r="B112" t="str">
        <v>Madrid, Madrid</v>
      </c>
      <c r="C112" t="str">
        <v>https://www.cdcampamento.es/</v>
      </c>
      <c r="D112" t="str">
        <v>cdcampamento@gmail.com</v>
      </c>
      <c r="E112" t="str">
        <v>629536029</v>
      </c>
      <c r="F112" t="str">
        <v>Fútbol · RFFM</v>
      </c>
      <c r="G112" t="str">
        <v>Nuevo</v>
      </c>
      <c r="H112" t="str">
        <v/>
      </c>
      <c r="I112" t="str">
        <v/>
      </c>
      <c r="J112" t="str">
        <v>0</v>
      </c>
      <c r="K112" t="str">
        <v/>
      </c>
      <c r="L112" t="str">
        <v>Enviar Email 1</v>
      </c>
      <c r="M112" t="str">
        <v/>
      </c>
      <c r="N112" t="str">
        <v>7 equipos · Pres: CONSTANTINO FERNANDEZ MARTINEZ · FB:C.D. Campamento</v>
      </c>
    </row>
    <row r="113">
      <c r="A113" t="str">
        <v>CERCEDA C.F.</v>
      </c>
      <c r="B113" t="str">
        <v>Cerceda, Madrid</v>
      </c>
      <c r="C113" t="str">
        <v>verificar</v>
      </c>
      <c r="D113" t="str">
        <v>CFCerceda@gmail.com</v>
      </c>
      <c r="E113" t="str">
        <v>678555807</v>
      </c>
      <c r="F113" t="str">
        <v>Fútbol · RFFM</v>
      </c>
      <c r="G113" t="str">
        <v>Nuevo</v>
      </c>
      <c r="H113" t="str">
        <v/>
      </c>
      <c r="I113" t="str">
        <v/>
      </c>
      <c r="J113" t="str">
        <v>0</v>
      </c>
      <c r="K113" t="str">
        <v/>
      </c>
      <c r="L113" t="str">
        <v>Enviar Email 1</v>
      </c>
      <c r="M113" t="str">
        <v/>
      </c>
      <c r="N113" t="str">
        <v>15 equipos · Pres: JOSE OLMOS DIAZ</v>
      </c>
    </row>
    <row r="114">
      <c r="A114" t="str">
        <v>CLUB CIRINGANILLOS</v>
      </c>
      <c r="B114" t="str">
        <v>Madrid, Madrid</v>
      </c>
      <c r="C114" t="str">
        <v>verificar</v>
      </c>
      <c r="D114" t="str">
        <v>angel.mateoalonso@hotmail.com</v>
      </c>
      <c r="E114" t="str">
        <v>690257388</v>
      </c>
      <c r="F114" t="str">
        <v>Fútbol · RFFM</v>
      </c>
      <c r="G114" t="str">
        <v>Nuevo</v>
      </c>
      <c r="H114" t="str">
        <v/>
      </c>
      <c r="I114" t="str">
        <v/>
      </c>
      <c r="J114" t="str">
        <v>0</v>
      </c>
      <c r="K114" t="str">
        <v/>
      </c>
      <c r="L114" t="str">
        <v>Enviar Email 1</v>
      </c>
      <c r="M114" t="str">
        <v/>
      </c>
      <c r="N114" t="str">
        <v>7 equipos · Pres: ANGEL MATEO ALONSO</v>
      </c>
    </row>
    <row r="115">
      <c r="A115" t="str">
        <v>C.D. COLMENAR DE OREJA</v>
      </c>
      <c r="B115" t="str">
        <v>Colmenar De Oreja, Madrid</v>
      </c>
      <c r="C115" t="str">
        <v>verificar</v>
      </c>
      <c r="D115" t="str">
        <v>infocdcolmenardeoreja@gmail.com</v>
      </c>
      <c r="E115" t="str">
        <v>918089197</v>
      </c>
      <c r="F115" t="str">
        <v>Fútbol · RFFM</v>
      </c>
      <c r="G115" t="str">
        <v>Nuevo</v>
      </c>
      <c r="H115" t="str">
        <v/>
      </c>
      <c r="I115" t="str">
        <v/>
      </c>
      <c r="J115" t="str">
        <v>0</v>
      </c>
      <c r="K115" t="str">
        <v/>
      </c>
      <c r="L115" t="str">
        <v>Enviar Email 1</v>
      </c>
      <c r="M115" t="str">
        <v/>
      </c>
      <c r="N115" t="str">
        <v>10 equipos · Pres: RUBEN REYEROS MARQUETA</v>
      </c>
    </row>
    <row r="116">
      <c r="A116" t="str">
        <v>C.F. SAN JUAN ZARZAQUEMADA</v>
      </c>
      <c r="B116" t="str">
        <v>Leganés, Madrid</v>
      </c>
      <c r="C116" t="str">
        <v>http://www.actiweb.es/sanjuanzarza/</v>
      </c>
      <c r="D116" t="str">
        <v>sanjuanzarzaquemada@gmail.com</v>
      </c>
      <c r="E116" t="str">
        <v>662184184</v>
      </c>
      <c r="F116" t="str">
        <v>Fútbol · RFFM</v>
      </c>
      <c r="G116" t="str">
        <v>Nuevo</v>
      </c>
      <c r="H116" t="str">
        <v/>
      </c>
      <c r="I116" t="str">
        <v/>
      </c>
      <c r="J116" t="str">
        <v>0</v>
      </c>
      <c r="K116" t="str">
        <v/>
      </c>
      <c r="L116" t="str">
        <v>Enviar Email 1</v>
      </c>
      <c r="M116" t="str">
        <v/>
      </c>
      <c r="N116" t="str">
        <v>1 equipos · Pres: AMELIO VAZQUEZ BENITEZ</v>
      </c>
    </row>
    <row r="117">
      <c r="A117" t="str">
        <v>C.D. JUVENTUD LOS CARMENES</v>
      </c>
      <c r="B117" t="str">
        <v>Madrid, Madrid</v>
      </c>
      <c r="C117" t="str">
        <v>verificar</v>
      </c>
      <c r="D117" t="str">
        <v>cdjloscarmenesoficial@gmail.com</v>
      </c>
      <c r="E117" t="str">
        <v>643951740</v>
      </c>
      <c r="F117" t="str">
        <v>Fútbol · RFFM</v>
      </c>
      <c r="G117" t="str">
        <v>Nuevo</v>
      </c>
      <c r="H117" t="str">
        <v/>
      </c>
      <c r="I117" t="str">
        <v/>
      </c>
      <c r="J117" t="str">
        <v>0</v>
      </c>
      <c r="K117" t="str">
        <v/>
      </c>
      <c r="L117" t="str">
        <v>Enviar Email 1</v>
      </c>
      <c r="M117" t="str">
        <v/>
      </c>
      <c r="N117" t="str">
        <v>7 equipos · Pres: RAFAEL MORENO GONZALEZ</v>
      </c>
    </row>
    <row r="118">
      <c r="A118" t="str">
        <v>C.D. ALZOLA-HALCONES</v>
      </c>
      <c r="B118" t="str">
        <v>Madrid, Madrid</v>
      </c>
      <c r="C118" t="str">
        <v>https://cdalzola.rffm.es</v>
      </c>
      <c r="D118" t="str">
        <v>cdalzola@gmail.com</v>
      </c>
      <c r="E118" t="str">
        <v>642132274</v>
      </c>
      <c r="F118" t="str">
        <v>Fútbol · RFFM</v>
      </c>
      <c r="G118" t="str">
        <v>Nuevo</v>
      </c>
      <c r="H118" t="str">
        <v/>
      </c>
      <c r="I118" t="str">
        <v/>
      </c>
      <c r="J118" t="str">
        <v>0</v>
      </c>
      <c r="K118" t="str">
        <v/>
      </c>
      <c r="L118" t="str">
        <v>Enviar Email 1</v>
      </c>
      <c r="M118" t="str">
        <v/>
      </c>
      <c r="N118" t="str">
        <v>31 equipos · Pres: AGUSTIN LABAD MARTINEZ</v>
      </c>
    </row>
    <row r="119">
      <c r="A119" t="str">
        <v>UNION EL RASTRO</v>
      </c>
      <c r="B119" t="str">
        <v>Madrid, Madrid</v>
      </c>
      <c r="C119" t="str">
        <v>verificar</v>
      </c>
      <c r="D119" t="str">
        <v>agus.ortiz.montero@gmail.com</v>
      </c>
      <c r="E119" t="str">
        <v>649234669</v>
      </c>
      <c r="F119" t="str">
        <v>Fútbol · RFFM</v>
      </c>
      <c r="G119" t="str">
        <v>Nuevo</v>
      </c>
      <c r="H119" t="str">
        <v/>
      </c>
      <c r="I119" t="str">
        <v/>
      </c>
      <c r="J119" t="str">
        <v>0</v>
      </c>
      <c r="K119" t="str">
        <v/>
      </c>
      <c r="L119" t="str">
        <v>Enviar Email 1</v>
      </c>
      <c r="M119" t="str">
        <v/>
      </c>
      <c r="N119" t="str">
        <v>1 equipos · Pres: AGUSTIN ORTIZ MONTERO</v>
      </c>
    </row>
    <row r="120">
      <c r="A120" t="str">
        <v>A.D. ARGANDA CLUB DE FUTBOL</v>
      </c>
      <c r="B120" t="str">
        <v>Arganda Del Rey, Madrid</v>
      </c>
      <c r="C120" t="str">
        <v>https://www.adarganda.es</v>
      </c>
      <c r="D120" t="str">
        <v>gestion@adarganda.es</v>
      </c>
      <c r="E120" t="str">
        <v>918712392</v>
      </c>
      <c r="F120" t="str">
        <v>Fútbol · RFFM</v>
      </c>
      <c r="G120" t="str">
        <v>Nuevo</v>
      </c>
      <c r="H120" t="str">
        <v/>
      </c>
      <c r="I120" t="str">
        <v/>
      </c>
      <c r="J120" t="str">
        <v>0</v>
      </c>
      <c r="K120" t="str">
        <v/>
      </c>
      <c r="L120" t="str">
        <v>Enviar Email 1</v>
      </c>
      <c r="M120" t="str">
        <v/>
      </c>
      <c r="N120" t="str">
        <v>28 equipos · Pres: FCO. JOSE MESONERO SANTANDER · FB:www.facebook.com/ADArgandaCFOficial · IG:www.instagram.com/adargandacf</v>
      </c>
    </row>
    <row r="121">
      <c r="A121" t="str">
        <v>A.D. VILLA ROSA</v>
      </c>
      <c r="B121" t="str">
        <v>Madrid, Madrid</v>
      </c>
      <c r="C121" t="str">
        <v>https://www.advillarosa.es</v>
      </c>
      <c r="D121" t="str">
        <v>advillarosa@yahoo.es</v>
      </c>
      <c r="E121" t="str">
        <v>913818551</v>
      </c>
      <c r="F121" t="str">
        <v>Fútbol · RFFM</v>
      </c>
      <c r="G121" t="str">
        <v>Nuevo</v>
      </c>
      <c r="H121" t="str">
        <v/>
      </c>
      <c r="I121" t="str">
        <v/>
      </c>
      <c r="J121" t="str">
        <v>0</v>
      </c>
      <c r="K121" t="str">
        <v/>
      </c>
      <c r="L121" t="str">
        <v>Enviar Email 1</v>
      </c>
      <c r="M121" t="str">
        <v/>
      </c>
      <c r="N121" t="str">
        <v>22 equipos · Pres: CARLOS PEREZ LORENZO · FB:Agrupación Deportiva Villa Rosa · IG:a.d.villarosa</v>
      </c>
    </row>
    <row r="122">
      <c r="A122" t="str">
        <v>C.D. SAN VIATOR</v>
      </c>
      <c r="B122" t="str">
        <v>Madrid, Madrid</v>
      </c>
      <c r="C122" t="str">
        <v>https://www.cdsanviator.es</v>
      </c>
      <c r="D122" t="str">
        <v>futbol@cdsanviator.es</v>
      </c>
      <c r="E122" t="str">
        <v>659138912</v>
      </c>
      <c r="F122" t="str">
        <v>Fútbol · RFFM</v>
      </c>
      <c r="G122" t="str">
        <v>Nuevo</v>
      </c>
      <c r="H122" t="str">
        <v/>
      </c>
      <c r="I122" t="str">
        <v/>
      </c>
      <c r="J122" t="str">
        <v>0</v>
      </c>
      <c r="K122" t="str">
        <v/>
      </c>
      <c r="L122" t="str">
        <v>Enviar Email 1</v>
      </c>
      <c r="M122" t="str">
        <v/>
      </c>
      <c r="N122" t="str">
        <v>11 equipos · Pres: DAVID RUIZ GARZON · IG:@cdsanviator</v>
      </c>
    </row>
    <row r="123">
      <c r="A123" t="str">
        <v>C.D. BATAN</v>
      </c>
      <c r="B123" t="str">
        <v>Villanueva del Pardillo, Madrid</v>
      </c>
      <c r="C123" t="str">
        <v>verificar</v>
      </c>
      <c r="D123" t="str">
        <v>cdbatan@hotmail.es</v>
      </c>
      <c r="E123" t="str">
        <v>686381365</v>
      </c>
      <c r="F123" t="str">
        <v>Fútbol · RFFM</v>
      </c>
      <c r="G123" t="str">
        <v>Nuevo</v>
      </c>
      <c r="H123" t="str">
        <v/>
      </c>
      <c r="I123" t="str">
        <v/>
      </c>
      <c r="J123" t="str">
        <v>0</v>
      </c>
      <c r="K123" t="str">
        <v/>
      </c>
      <c r="L123" t="str">
        <v>Enviar Email 1</v>
      </c>
      <c r="M123" t="str">
        <v/>
      </c>
      <c r="N123" t="str">
        <v>1 equipos · Pres: ENRIQUE ARROYO AZNAR</v>
      </c>
    </row>
    <row r="124">
      <c r="A124" t="str">
        <v>CELTIC CASTILLA C.F.</v>
      </c>
      <c r="B124" t="str">
        <v>0, Madrid</v>
      </c>
      <c r="C124" t="str">
        <v>https://celticcastilla.es</v>
      </c>
      <c r="D124" t="str">
        <v>info@celticcastilla.es</v>
      </c>
      <c r="E124" t="str">
        <v>607636630</v>
      </c>
      <c r="F124" t="str">
        <v>Fútbol · RFFM</v>
      </c>
      <c r="G124" t="str">
        <v>Nuevo</v>
      </c>
      <c r="H124" t="str">
        <v/>
      </c>
      <c r="I124" t="str">
        <v/>
      </c>
      <c r="J124" t="str">
        <v>0</v>
      </c>
      <c r="K124" t="str">
        <v/>
      </c>
      <c r="L124" t="str">
        <v>Enviar Email 1</v>
      </c>
      <c r="M124" t="str">
        <v/>
      </c>
      <c r="N124" t="str">
        <v>21 equipos · Pres: RAFAEL JAVIER ROMERO TRILLO</v>
      </c>
    </row>
    <row r="125">
      <c r="A125" t="str">
        <v>CLUB TORRELODONES C.F.</v>
      </c>
      <c r="B125" t="str">
        <v>Torrelodones, Madrid</v>
      </c>
      <c r="C125" t="str">
        <v>https://tcf.futbol</v>
      </c>
      <c r="D125" t="str">
        <v>verificar</v>
      </c>
      <c r="E125" t="str">
        <v>658996848</v>
      </c>
      <c r="F125" t="str">
        <v>Fútbol · RFFM</v>
      </c>
      <c r="G125" t="str">
        <v>Nuevo</v>
      </c>
      <c r="H125" t="str">
        <v/>
      </c>
      <c r="I125" t="str">
        <v/>
      </c>
      <c r="J125" t="str">
        <v>0</v>
      </c>
      <c r="K125" t="str">
        <v/>
      </c>
      <c r="L125" t="str">
        <v>Enviar Email 1</v>
      </c>
      <c r="M125" t="str">
        <v/>
      </c>
      <c r="N125" t="str">
        <v>2 equipos · Pres: ADRIAN ALVAREZ CHOUCIÑO</v>
      </c>
    </row>
    <row r="126">
      <c r="A126" t="str">
        <v>COLEGIO EL PRADO</v>
      </c>
      <c r="B126" t="str">
        <v>Madrid, Madrid</v>
      </c>
      <c r="C126" t="str">
        <v>https://www.fomento.edu/elprado/</v>
      </c>
      <c r="D126" t="str">
        <v>javiermpalacios@hotmail.com</v>
      </c>
      <c r="E126" t="str">
        <v>639222040</v>
      </c>
      <c r="F126" t="str">
        <v>Fútbol · RFFM</v>
      </c>
      <c r="G126" t="str">
        <v>Nuevo</v>
      </c>
      <c r="H126" t="str">
        <v/>
      </c>
      <c r="I126" t="str">
        <v/>
      </c>
      <c r="J126" t="str">
        <v>0</v>
      </c>
      <c r="K126" t="str">
        <v/>
      </c>
      <c r="L126" t="str">
        <v>Enviar Email 1</v>
      </c>
      <c r="M126" t="str">
        <v/>
      </c>
      <c r="N126" t="str">
        <v>12 equipos · Pres: JOSE LUIS ASSIEGO CRUZ · IG:www.instagram.com/colegioelprado/</v>
      </c>
    </row>
    <row r="127">
      <c r="A127" t="str">
        <v>C.F. RAYO 70</v>
      </c>
      <c r="B127" t="str">
        <v>Coslada, Madrid</v>
      </c>
      <c r="C127" t="str">
        <v>https://wwwcfrayo70.1973@gmail.com</v>
      </c>
      <c r="D127" t="str">
        <v>angelpascual48@yahoo.es</v>
      </c>
      <c r="E127" t="str">
        <v>655188899</v>
      </c>
      <c r="F127" t="str">
        <v>Fútbol · RFFM</v>
      </c>
      <c r="G127" t="str">
        <v>Nuevo</v>
      </c>
      <c r="H127" t="str">
        <v/>
      </c>
      <c r="I127" t="str">
        <v/>
      </c>
      <c r="J127" t="str">
        <v>0</v>
      </c>
      <c r="K127" t="str">
        <v/>
      </c>
      <c r="L127" t="str">
        <v>Enviar Email 1</v>
      </c>
      <c r="M127" t="str">
        <v/>
      </c>
      <c r="N127" t="str">
        <v>7 equipos · Pres: ANGEL LUIS PASCUAL LOPEZ</v>
      </c>
    </row>
    <row r="128">
      <c r="A128" t="str">
        <v>ESCUELA DEPORTIVA ALMUDENA</v>
      </c>
      <c r="B128" t="str">
        <v>Madrid, Madrid</v>
      </c>
      <c r="C128" t="str">
        <v>http://www.edalmudena.es/</v>
      </c>
      <c r="D128" t="str">
        <v>edalmudena@gmail.com</v>
      </c>
      <c r="E128" t="str">
        <v>628906440</v>
      </c>
      <c r="F128" t="str">
        <v>Fútbol · RFFM</v>
      </c>
      <c r="G128" t="str">
        <v>Nuevo</v>
      </c>
      <c r="H128" t="str">
        <v/>
      </c>
      <c r="I128" t="str">
        <v/>
      </c>
      <c r="J128" t="str">
        <v>0</v>
      </c>
      <c r="K128" t="str">
        <v/>
      </c>
      <c r="L128" t="str">
        <v>Enviar Email 1</v>
      </c>
      <c r="M128" t="str">
        <v/>
      </c>
      <c r="N128" t="str">
        <v>14 equipos · Pres: VICTOR JOSE SOPEÑA LOPEZ</v>
      </c>
    </row>
    <row r="129">
      <c r="A129" t="str">
        <v>SPORTING ARGANDA C.F. (BAJA TEMP 2025-2026)</v>
      </c>
      <c r="B129" t="str">
        <v>Madrid, Madrid</v>
      </c>
      <c r="C129" t="str">
        <v>https://sportingargandacf@gmail.com</v>
      </c>
      <c r="D129" t="str">
        <v>sportingargandacf@gmail.com</v>
      </c>
      <c r="E129" t="str">
        <v>600942103</v>
      </c>
      <c r="F129" t="str">
        <v>Fútbol · RFFM</v>
      </c>
      <c r="G129" t="str">
        <v>Nuevo</v>
      </c>
      <c r="H129" t="str">
        <v/>
      </c>
      <c r="I129" t="str">
        <v/>
      </c>
      <c r="J129" t="str">
        <v>0</v>
      </c>
      <c r="K129" t="str">
        <v/>
      </c>
      <c r="L129" t="str">
        <v>Enviar Email 1</v>
      </c>
      <c r="M129" t="str">
        <v/>
      </c>
      <c r="N129" t="str">
        <v>- equipos · Pres: JONATAN GONZALEZ NUÑEZ</v>
      </c>
    </row>
    <row r="130">
      <c r="A130" t="str">
        <v>CLUB UNION DEPORTIVA LOECHES</v>
      </c>
      <c r="B130" t="str">
        <v>Loeches, Madrid</v>
      </c>
      <c r="C130" t="str">
        <v>https://cdloeches.com</v>
      </c>
      <c r="D130" t="str">
        <v>info.cdloeches@gmail.com</v>
      </c>
      <c r="E130" t="str">
        <v>622880743</v>
      </c>
      <c r="F130" t="str">
        <v>Fútbol · RFFM</v>
      </c>
      <c r="G130" t="str">
        <v>Nuevo</v>
      </c>
      <c r="H130" t="str">
        <v/>
      </c>
      <c r="I130" t="str">
        <v/>
      </c>
      <c r="J130" t="str">
        <v>0</v>
      </c>
      <c r="K130" t="str">
        <v/>
      </c>
      <c r="L130" t="str">
        <v>Enviar Email 1</v>
      </c>
      <c r="M130" t="str">
        <v/>
      </c>
      <c r="N130" t="str">
        <v>7 equipos · Pres: ANTONIO PEREA GALA</v>
      </c>
    </row>
    <row r="131">
      <c r="A131" t="str">
        <v>C.D. SPARTAC DE MANOTERAS</v>
      </c>
      <c r="B131" t="str">
        <v>Madrid, Madrid</v>
      </c>
      <c r="C131" t="str">
        <v>https://spartacdemanoteras.com</v>
      </c>
      <c r="D131" t="str">
        <v>presidente.spartac.manoteras@gmail.com</v>
      </c>
      <c r="E131" t="str">
        <v>913021031</v>
      </c>
      <c r="F131" t="str">
        <v>Fútbol · RFFM</v>
      </c>
      <c r="G131" t="str">
        <v>Nuevo</v>
      </c>
      <c r="H131" t="str">
        <v/>
      </c>
      <c r="I131" t="str">
        <v/>
      </c>
      <c r="J131" t="str">
        <v>0</v>
      </c>
      <c r="K131" t="str">
        <v/>
      </c>
      <c r="L131" t="str">
        <v>Enviar Email 1</v>
      </c>
      <c r="M131" t="str">
        <v/>
      </c>
      <c r="N131" t="str">
        <v>26 equipos · Pres: FRANCISCO SOTO MENENDEZ</v>
      </c>
    </row>
    <row r="132">
      <c r="A132" t="str">
        <v>A.D. ESPERANZA</v>
      </c>
      <c r="B132" t="str">
        <v>Madrid, Madrid</v>
      </c>
      <c r="C132" t="str">
        <v>https://adesperanza.com</v>
      </c>
      <c r="D132" t="str">
        <v>presidente@adesperanza.com</v>
      </c>
      <c r="E132" t="str">
        <v>917652615</v>
      </c>
      <c r="F132" t="str">
        <v>Fútbol · RFFM</v>
      </c>
      <c r="G132" t="str">
        <v>Nuevo</v>
      </c>
      <c r="H132" t="str">
        <v/>
      </c>
      <c r="I132" t="str">
        <v/>
      </c>
      <c r="J132" t="str">
        <v>0</v>
      </c>
      <c r="K132" t="str">
        <v/>
      </c>
      <c r="L132" t="str">
        <v>Enviar Email 1</v>
      </c>
      <c r="M132" t="str">
        <v/>
      </c>
      <c r="N132" t="str">
        <v>32 equipos · Pres: VICENTE GARCIA FERNANDEZ</v>
      </c>
    </row>
    <row r="133">
      <c r="A133" t="str">
        <v>LA MUTUAL JUAN XXIII</v>
      </c>
      <c r="B133" t="str">
        <v>Madrid, Madrid</v>
      </c>
      <c r="C133" t="str">
        <v>https://www.lamutu.es</v>
      </c>
      <c r="D133" t="str">
        <v>prietotalleres@yahoo.es</v>
      </c>
      <c r="E133" t="str">
        <v>678358296</v>
      </c>
      <c r="F133" t="str">
        <v>Fútbol · RFFM</v>
      </c>
      <c r="G133" t="str">
        <v>Nuevo</v>
      </c>
      <c r="H133" t="str">
        <v/>
      </c>
      <c r="I133" t="str">
        <v/>
      </c>
      <c r="J133" t="str">
        <v>0</v>
      </c>
      <c r="K133" t="str">
        <v/>
      </c>
      <c r="L133" t="str">
        <v>Enviar Email 1</v>
      </c>
      <c r="M133" t="str">
        <v/>
      </c>
      <c r="N133" t="str">
        <v>19 equipos · Pres: ANGEL PRIETO BRAVO</v>
      </c>
    </row>
    <row r="134">
      <c r="A134" t="str">
        <v>A.D. ORCASITAS</v>
      </c>
      <c r="B134" t="str">
        <v>Madrid, Madrid</v>
      </c>
      <c r="C134" t="str">
        <v>https://www.adorcasitas.es</v>
      </c>
      <c r="D134" t="str">
        <v>dd@adorcasitas.es</v>
      </c>
      <c r="E134" t="str">
        <v>627915169</v>
      </c>
      <c r="F134" t="str">
        <v>Fútbol · RFFM</v>
      </c>
      <c r="G134" t="str">
        <v>Nuevo</v>
      </c>
      <c r="H134" t="str">
        <v/>
      </c>
      <c r="I134" t="str">
        <v/>
      </c>
      <c r="J134" t="str">
        <v>0</v>
      </c>
      <c r="K134" t="str">
        <v/>
      </c>
      <c r="L134" t="str">
        <v>Enviar Email 1</v>
      </c>
      <c r="M134" t="str">
        <v/>
      </c>
      <c r="N134" t="str">
        <v>20 equipos · Pres: FRANCISCO DIAZ SUERO · FB:https://www.facebook.com/profile.php?id=61553222455599 · IG:https://www.instagram.com/</v>
      </c>
    </row>
    <row r="135">
      <c r="A135" t="str">
        <v>C.D. GRIÑON</v>
      </c>
      <c r="B135" t="str">
        <v>Griñón, Madrid</v>
      </c>
      <c r="C135" t="str">
        <v>https://cdgrinon.ffmadrid.org</v>
      </c>
      <c r="D135" t="str">
        <v>infocdgrinon@gmail.com</v>
      </c>
      <c r="E135" t="str">
        <v>918103801</v>
      </c>
      <c r="F135" t="str">
        <v>Fútbol · RFFM</v>
      </c>
      <c r="G135" t="str">
        <v>Nuevo</v>
      </c>
      <c r="H135" t="str">
        <v/>
      </c>
      <c r="I135" t="str">
        <v/>
      </c>
      <c r="J135" t="str">
        <v>0</v>
      </c>
      <c r="K135" t="str">
        <v/>
      </c>
      <c r="L135" t="str">
        <v>Enviar Email 1</v>
      </c>
      <c r="M135" t="str">
        <v/>
      </c>
      <c r="N135" t="str">
        <v>17 equipos · Pres: DAVID FORTES GUDIEL · FB:CD GRIÑON · IG:@cd_grinon</v>
      </c>
    </row>
    <row r="136">
      <c r="A136" t="str">
        <v>ESCUELA FUTBOL JUVENTUD MADRID</v>
      </c>
      <c r="B136" t="str">
        <v>Madrid, Madrid</v>
      </c>
      <c r="C136" t="str">
        <v>https://www.juventudmadrid.com</v>
      </c>
      <c r="D136" t="str">
        <v>efjuventudmadrid@hotmail.es</v>
      </c>
      <c r="E136" t="str">
        <v>652873429</v>
      </c>
      <c r="F136" t="str">
        <v>Fútbol · RFFM</v>
      </c>
      <c r="G136" t="str">
        <v>Nuevo</v>
      </c>
      <c r="H136" t="str">
        <v/>
      </c>
      <c r="I136" t="str">
        <v/>
      </c>
      <c r="J136" t="str">
        <v>0</v>
      </c>
      <c r="K136" t="str">
        <v/>
      </c>
      <c r="L136" t="str">
        <v>Enviar Email 1</v>
      </c>
      <c r="M136" t="str">
        <v/>
      </c>
      <c r="N136" t="str">
        <v>14 equipos · Pres: JESUS ROMERO SACHEZ · IG:https://instagram.com/juventudmadrid?igshid=MzRlODBiNWFlZA==</v>
      </c>
    </row>
    <row r="137">
      <c r="A137" t="str">
        <v>C.D. ASOC. VEC. SAN NICASIO</v>
      </c>
      <c r="B137" t="str">
        <v>Leganés, Madrid</v>
      </c>
      <c r="C137" t="str">
        <v>https://www.cdsannicasio.com</v>
      </c>
      <c r="D137" t="str">
        <v>info@cdsannicasio.com</v>
      </c>
      <c r="E137" t="str">
        <v>691583441</v>
      </c>
      <c r="F137" t="str">
        <v>Fútbol · RFFM</v>
      </c>
      <c r="G137" t="str">
        <v>Nuevo</v>
      </c>
      <c r="H137" t="str">
        <v/>
      </c>
      <c r="I137" t="str">
        <v/>
      </c>
      <c r="J137" t="str">
        <v>0</v>
      </c>
      <c r="K137" t="str">
        <v/>
      </c>
      <c r="L137" t="str">
        <v>Enviar Email 1</v>
      </c>
      <c r="M137" t="str">
        <v/>
      </c>
      <c r="N137" t="str">
        <v>8 equipos · Pres: SILVIA COTILLAS ARNAU · FB:https://www.facebook.com/cdsannicasio · IG:https://www.instagram.com/cdavsannicasio/</v>
      </c>
    </row>
    <row r="138">
      <c r="A138" t="str">
        <v>C.D. DAGANZO</v>
      </c>
      <c r="B138" t="str">
        <v>Daganzo De Arriba, Madrid</v>
      </c>
      <c r="C138" t="str">
        <v>verificar</v>
      </c>
      <c r="D138" t="str">
        <v>administracion@cddaganzo.es</v>
      </c>
      <c r="E138" t="str">
        <v>918782277</v>
      </c>
      <c r="F138" t="str">
        <v>Fútbol · RFFM</v>
      </c>
      <c r="G138" t="str">
        <v>Nuevo</v>
      </c>
      <c r="H138" t="str">
        <v/>
      </c>
      <c r="I138" t="str">
        <v/>
      </c>
      <c r="J138" t="str">
        <v>0</v>
      </c>
      <c r="K138" t="str">
        <v/>
      </c>
      <c r="L138" t="str">
        <v>Enviar Email 1</v>
      </c>
      <c r="M138" t="str">
        <v/>
      </c>
      <c r="N138" t="str">
        <v>19 equipos · Pres: ANGEL GUTIERREZ VALLADAR</v>
      </c>
    </row>
    <row r="139">
      <c r="A139" t="str">
        <v>ESCUELAS DEPORTIVAS DE PINTO</v>
      </c>
      <c r="B139" t="str">
        <v>Pinto, Madrid</v>
      </c>
      <c r="C139" t="str">
        <v>https://escuelasdeportivaspinto.com/</v>
      </c>
      <c r="D139" t="str">
        <v>escuelasdeportivasdepinto@hotmail.com</v>
      </c>
      <c r="E139" t="str">
        <v>678935897</v>
      </c>
      <c r="F139" t="str">
        <v>Fútbol · RFFM</v>
      </c>
      <c r="G139" t="str">
        <v>Nuevo</v>
      </c>
      <c r="H139" t="str">
        <v/>
      </c>
      <c r="I139" t="str">
        <v/>
      </c>
      <c r="J139" t="str">
        <v>0</v>
      </c>
      <c r="K139" t="str">
        <v/>
      </c>
      <c r="L139" t="str">
        <v>Enviar Email 1</v>
      </c>
      <c r="M139" t="str">
        <v/>
      </c>
      <c r="N139" t="str">
        <v>10 equipos · Pres: VICTORIA CABELLO PEÑA</v>
      </c>
    </row>
    <row r="140">
      <c r="A140" t="str">
        <v>A.D. CHORRILLO DISTRITO VIII</v>
      </c>
      <c r="B140" t="str">
        <v>Alcalá De Henares, Madrid</v>
      </c>
      <c r="C140" t="str">
        <v>verificar</v>
      </c>
      <c r="D140" t="str">
        <v>info@rayoensanche.com</v>
      </c>
      <c r="E140" t="str">
        <v>661456158</v>
      </c>
      <c r="F140" t="str">
        <v>Fútbol · RFFM</v>
      </c>
      <c r="G140" t="str">
        <v>Nuevo</v>
      </c>
      <c r="H140" t="str">
        <v/>
      </c>
      <c r="I140" t="str">
        <v/>
      </c>
      <c r="J140" t="str">
        <v>0</v>
      </c>
      <c r="K140" t="str">
        <v/>
      </c>
      <c r="L140" t="str">
        <v>Enviar Email 1</v>
      </c>
      <c r="M140" t="str">
        <v/>
      </c>
      <c r="N140" t="str">
        <v>2 equipos · Pres: ANDRES PIZARRO RIVAS</v>
      </c>
    </row>
    <row r="141">
      <c r="A141" t="str">
        <v>A.D. LA CABRERA</v>
      </c>
      <c r="B141" t="str">
        <v>Cabrera (La), Madrid</v>
      </c>
      <c r="C141" t="str">
        <v>verificar</v>
      </c>
      <c r="D141" t="str">
        <v>agrupaciondeportivalacabrera@gmail.com</v>
      </c>
      <c r="E141" t="str">
        <v>630925974</v>
      </c>
      <c r="F141" t="str">
        <v>Fútbol · RFFM</v>
      </c>
      <c r="G141" t="str">
        <v>Nuevo</v>
      </c>
      <c r="H141" t="str">
        <v/>
      </c>
      <c r="I141" t="str">
        <v/>
      </c>
      <c r="J141" t="str">
        <v>0</v>
      </c>
      <c r="K141" t="str">
        <v/>
      </c>
      <c r="L141" t="str">
        <v>Enviar Email 1</v>
      </c>
      <c r="M141" t="str">
        <v/>
      </c>
      <c r="N141" t="str">
        <v>12 equipos · Pres: BIENVENIDO LOECHES CORTES · FB:https://www.facebook.com/EscueladeFutbolLaCabrera/ · IG:https://www.instagram.com/adlacabr</v>
      </c>
    </row>
    <row r="142">
      <c r="A142" t="str">
        <v>FEPE GETAFE III</v>
      </c>
      <c r="B142" t="str">
        <v>Getafe, Madrid</v>
      </c>
      <c r="C142" t="str">
        <v>https://www.fepegetafe3.com</v>
      </c>
      <c r="D142" t="str">
        <v>fepegeiii@gmail.com</v>
      </c>
      <c r="E142" t="str">
        <v>676764724</v>
      </c>
      <c r="F142" t="str">
        <v>Fútbol · RFFM</v>
      </c>
      <c r="G142" t="str">
        <v>Nuevo</v>
      </c>
      <c r="H142" t="str">
        <v/>
      </c>
      <c r="I142" t="str">
        <v/>
      </c>
      <c r="J142" t="str">
        <v>0</v>
      </c>
      <c r="K142" t="str">
        <v/>
      </c>
      <c r="L142" t="str">
        <v>Enviar Email 1</v>
      </c>
      <c r="M142" t="str">
        <v/>
      </c>
      <c r="N142" t="str">
        <v>47 equipos · Pres: CARLOS PERO PRIETO · IG:fepegetafe3_oficial</v>
      </c>
    </row>
    <row r="143">
      <c r="A143" t="str">
        <v>CLUB VILLACONEJOS</v>
      </c>
      <c r="B143" t="str">
        <v>Villaconejos, Madrid</v>
      </c>
      <c r="C143" t="str">
        <v>https://cdvillaconejos.ffmadrid.org</v>
      </c>
      <c r="D143" t="str">
        <v>cdvillaconejos@gmail.com</v>
      </c>
      <c r="E143" t="str">
        <v>687774780</v>
      </c>
      <c r="F143" t="str">
        <v>Fútbol · RFFM</v>
      </c>
      <c r="G143" t="str">
        <v>Nuevo</v>
      </c>
      <c r="H143" t="str">
        <v/>
      </c>
      <c r="I143" t="str">
        <v/>
      </c>
      <c r="J143" t="str">
        <v>0</v>
      </c>
      <c r="K143" t="str">
        <v/>
      </c>
      <c r="L143" t="str">
        <v>Enviar Email 1</v>
      </c>
      <c r="M143" t="str">
        <v/>
      </c>
      <c r="N143" t="str">
        <v>12 equipos · Pres: JOSE FRANCISCO RODRIGUEZ SANCHEZ</v>
      </c>
    </row>
    <row r="144">
      <c r="A144" t="str">
        <v>CLUB SECCION DEPORTIVA DEL POZO</v>
      </c>
      <c r="B144" t="str">
        <v>Madrid, Madrid</v>
      </c>
      <c r="C144" t="str">
        <v>https://www.sdpozo.com</v>
      </c>
      <c r="D144" t="str">
        <v>sdpozosport@gmail.com</v>
      </c>
      <c r="E144" t="str">
        <v>verificar</v>
      </c>
      <c r="F144" t="str">
        <v>Fútbol · RFFM</v>
      </c>
      <c r="G144" t="str">
        <v>Nuevo</v>
      </c>
      <c r="H144" t="str">
        <v/>
      </c>
      <c r="I144" t="str">
        <v/>
      </c>
      <c r="J144" t="str">
        <v>0</v>
      </c>
      <c r="K144" t="str">
        <v/>
      </c>
      <c r="L144" t="str">
        <v>Enviar Email 1</v>
      </c>
      <c r="M144" t="str">
        <v/>
      </c>
      <c r="N144" t="str">
        <v>20 equipos · Pres: FRANCISCO JAVIER PIÑERO IZQUIERDO · IG:@sdpozoport</v>
      </c>
    </row>
    <row r="145">
      <c r="A145" t="str">
        <v>SAD DUX INTERNACIONAL DE MADRID S.L.</v>
      </c>
      <c r="B145" t="str">
        <v>Madrid, Madrid</v>
      </c>
      <c r="C145" t="str">
        <v>https://www.interdemadrid.com</v>
      </c>
      <c r="D145" t="str">
        <v>info@interdemadrid.com</v>
      </c>
      <c r="E145" t="str">
        <v>687989482</v>
      </c>
      <c r="F145" t="str">
        <v>Fútbol · RFFM</v>
      </c>
      <c r="G145" t="str">
        <v>Nuevo</v>
      </c>
      <c r="H145" t="str">
        <v/>
      </c>
      <c r="I145" t="str">
        <v/>
      </c>
      <c r="J145" t="str">
        <v>0</v>
      </c>
      <c r="K145" t="str">
        <v/>
      </c>
      <c r="L145" t="str">
        <v>Enviar Email 1</v>
      </c>
      <c r="M145" t="str">
        <v/>
      </c>
      <c r="N145" t="str">
        <v>1 equipos · Pres: STEPHEN KENNET NEWMAN LOVELL</v>
      </c>
    </row>
    <row r="146">
      <c r="A146" t="str">
        <v>C.F. LICEO SPORT</v>
      </c>
      <c r="B146" t="str">
        <v>0, Madrid</v>
      </c>
      <c r="C146" t="str">
        <v>verificar</v>
      </c>
      <c r="D146" t="str">
        <v>cfliceosport@gmail.com</v>
      </c>
      <c r="E146" t="str">
        <v>916619838</v>
      </c>
      <c r="F146" t="str">
        <v>Fútbol · RFFM</v>
      </c>
      <c r="G146" t="str">
        <v>Nuevo</v>
      </c>
      <c r="H146" t="str">
        <v/>
      </c>
      <c r="I146" t="str">
        <v/>
      </c>
      <c r="J146" t="str">
        <v>0</v>
      </c>
      <c r="K146" t="str">
        <v/>
      </c>
      <c r="L146" t="str">
        <v>Enviar Email 1</v>
      </c>
      <c r="M146" t="str">
        <v/>
      </c>
      <c r="N146" t="str">
        <v>4 equipos · Pres: LUIS PASTOR DENESVRE</v>
      </c>
    </row>
    <row r="147">
      <c r="A147" t="str">
        <v>F.C. INTER DEL PILAR</v>
      </c>
      <c r="B147" t="str">
        <v>Madrid, Madrid</v>
      </c>
      <c r="C147" t="str">
        <v>http://fcinterdelpilar.es/</v>
      </c>
      <c r="D147" t="str">
        <v>pacogon1977@hotmail.com</v>
      </c>
      <c r="E147" t="str">
        <v>627707295</v>
      </c>
      <c r="F147" t="str">
        <v>Fútbol · RFFM</v>
      </c>
      <c r="G147" t="str">
        <v>Nuevo</v>
      </c>
      <c r="H147" t="str">
        <v/>
      </c>
      <c r="I147" t="str">
        <v/>
      </c>
      <c r="J147" t="str">
        <v>0</v>
      </c>
      <c r="K147" t="str">
        <v/>
      </c>
      <c r="L147" t="str">
        <v>Enviar Email 1</v>
      </c>
      <c r="M147" t="str">
        <v/>
      </c>
      <c r="N147" t="str">
        <v>1 equipos · Pres: OSCAR LOPEZ GONZALEZ · FB:facebook.com/fcinterdelpilar/ · IG:instagram.com/fcinterdelpilar/</v>
      </c>
    </row>
    <row r="148">
      <c r="A148" t="str">
        <v>C.D. ALPEDRETE</v>
      </c>
      <c r="B148" t="str">
        <v>Alpedrete, Madrid</v>
      </c>
      <c r="C148" t="str">
        <v>https://www.cdalpedrete.com</v>
      </c>
      <c r="D148" t="str">
        <v>info@cdalpedrete.com</v>
      </c>
      <c r="E148" t="str">
        <v>609346768</v>
      </c>
      <c r="F148" t="str">
        <v>Fútbol · RFFM</v>
      </c>
      <c r="G148" t="str">
        <v>Nuevo</v>
      </c>
      <c r="H148" t="str">
        <v/>
      </c>
      <c r="I148" t="str">
        <v/>
      </c>
      <c r="J148" t="str">
        <v>0</v>
      </c>
      <c r="K148" t="str">
        <v/>
      </c>
      <c r="L148" t="str">
        <v>Enviar Email 1</v>
      </c>
      <c r="M148" t="str">
        <v/>
      </c>
      <c r="N148" t="str">
        <v>19 equipos · Pres: CARLOS LOPEZ ARTERO</v>
      </c>
    </row>
    <row r="149">
      <c r="A149" t="str">
        <v>C.D. CARRANZA</v>
      </c>
      <c r="B149" t="str">
        <v>San Sebastián De Los Reyes, Madrid</v>
      </c>
      <c r="C149" t="str">
        <v>https://www.cdcarranza.com</v>
      </c>
      <c r="D149" t="str">
        <v>directordeportivo@cdcarranza.com</v>
      </c>
      <c r="E149" t="str">
        <v>670597716</v>
      </c>
      <c r="F149" t="str">
        <v>Fútbol · RFFM</v>
      </c>
      <c r="G149" t="str">
        <v>Nuevo</v>
      </c>
      <c r="H149" t="str">
        <v/>
      </c>
      <c r="I149" t="str">
        <v/>
      </c>
      <c r="J149" t="str">
        <v>0</v>
      </c>
      <c r="K149" t="str">
        <v/>
      </c>
      <c r="L149" t="str">
        <v>Enviar Email 1</v>
      </c>
      <c r="M149" t="str">
        <v/>
      </c>
      <c r="N149" t="str">
        <v>25 equipos · Pres: SANTIAGO MORA ASENJO</v>
      </c>
    </row>
    <row r="150">
      <c r="A150" t="str">
        <v>AD A.TOLEDO OLIVOS C.F.</v>
      </c>
      <c r="B150" t="str">
        <v>Mejorada Del Campo, Madrid</v>
      </c>
      <c r="C150" t="str">
        <v>https://adatoledoolivos.es</v>
      </c>
      <c r="D150" t="str">
        <v>adatoledo-olivos@outlook.es</v>
      </c>
      <c r="E150" t="str">
        <v>916793294</v>
      </c>
      <c r="F150" t="str">
        <v>Fútbol · RFFM</v>
      </c>
      <c r="G150" t="str">
        <v>Nuevo</v>
      </c>
      <c r="H150" t="str">
        <v/>
      </c>
      <c r="I150" t="str">
        <v/>
      </c>
      <c r="J150" t="str">
        <v>0</v>
      </c>
      <c r="K150" t="str">
        <v/>
      </c>
      <c r="L150" t="str">
        <v>Enviar Email 1</v>
      </c>
      <c r="M150" t="str">
        <v/>
      </c>
      <c r="N150" t="str">
        <v>19 equipos · Pres: GABRIEL BARRIOS VAZQUEZ</v>
      </c>
    </row>
    <row r="151">
      <c r="A151" t="str">
        <v>ESC. FUT. A.V. LA CHIMENEA</v>
      </c>
      <c r="B151" t="str">
        <v>Madrid, Madrid</v>
      </c>
      <c r="C151" t="str">
        <v>verificar</v>
      </c>
      <c r="D151" t="str">
        <v>informacionavlachimenea@gmail.com</v>
      </c>
      <c r="E151" t="str">
        <v>914756475</v>
      </c>
      <c r="F151" t="str">
        <v>Fútbol · RFFM</v>
      </c>
      <c r="G151" t="str">
        <v>Nuevo</v>
      </c>
      <c r="H151" t="str">
        <v/>
      </c>
      <c r="I151" t="str">
        <v/>
      </c>
      <c r="J151" t="str">
        <v>0</v>
      </c>
      <c r="K151" t="str">
        <v/>
      </c>
      <c r="L151" t="str">
        <v>Enviar Email 1</v>
      </c>
      <c r="M151" t="str">
        <v/>
      </c>
      <c r="N151" t="str">
        <v>17 equipos · Pres: HERMOGENES GOMEZ PECO · FB:A.V. la Chimenea · IG:avchimenea</v>
      </c>
    </row>
    <row r="152">
      <c r="A152" t="str">
        <v>A.D. NAYA</v>
      </c>
      <c r="B152" t="str">
        <v>Alcalá De Henares, Madrid</v>
      </c>
      <c r="C152" t="str">
        <v>https://www.adnaya.es</v>
      </c>
      <c r="D152" t="str">
        <v>info@adnaya.es</v>
      </c>
      <c r="E152" t="str">
        <v>918893543</v>
      </c>
      <c r="F152" t="str">
        <v>Fútbol · RFFM</v>
      </c>
      <c r="G152" t="str">
        <v>Nuevo</v>
      </c>
      <c r="H152" t="str">
        <v/>
      </c>
      <c r="I152" t="str">
        <v/>
      </c>
      <c r="J152" t="str">
        <v>0</v>
      </c>
      <c r="K152" t="str">
        <v/>
      </c>
      <c r="L152" t="str">
        <v>Enviar Email 1</v>
      </c>
      <c r="M152" t="str">
        <v/>
      </c>
      <c r="N152" t="str">
        <v>26 equipos · Pres: RAUL RUEDA CANAL</v>
      </c>
    </row>
    <row r="153">
      <c r="A153" t="str">
        <v>C.D. PARQUE VERDE</v>
      </c>
      <c r="B153" t="str">
        <v>Leganés, Madrid</v>
      </c>
      <c r="C153" t="str">
        <v>https://cdparqueverde.com</v>
      </c>
      <c r="D153" t="str">
        <v>cdparqueverde.admon@gmail.com</v>
      </c>
      <c r="E153" t="str">
        <v>624451695</v>
      </c>
      <c r="F153" t="str">
        <v>Fútbol · RFFM</v>
      </c>
      <c r="G153" t="str">
        <v>Nuevo</v>
      </c>
      <c r="H153" t="str">
        <v/>
      </c>
      <c r="I153" t="str">
        <v/>
      </c>
      <c r="J153" t="str">
        <v>0</v>
      </c>
      <c r="K153" t="str">
        <v/>
      </c>
      <c r="L153" t="str">
        <v>Enviar Email 1</v>
      </c>
      <c r="M153" t="str">
        <v/>
      </c>
      <c r="N153" t="str">
        <v>11 equipos · Pres: SERGIO RODRIGUEZ MARTINEZ · FB:www.facebook.com/cdparqueverde</v>
      </c>
    </row>
    <row r="154">
      <c r="A154" t="str">
        <v>C.F. AGUILAS DEL LUCERO</v>
      </c>
      <c r="B154" t="str">
        <v>Madrid, Madrid</v>
      </c>
      <c r="C154" t="str">
        <v>verificar</v>
      </c>
      <c r="D154" t="str">
        <v>cfaguilasdellucero@gmail.com</v>
      </c>
      <c r="E154" t="str">
        <v>605398178</v>
      </c>
      <c r="F154" t="str">
        <v>Fútbol · RFFM</v>
      </c>
      <c r="G154" t="str">
        <v>Nuevo</v>
      </c>
      <c r="H154" t="str">
        <v/>
      </c>
      <c r="I154" t="str">
        <v/>
      </c>
      <c r="J154" t="str">
        <v>0</v>
      </c>
      <c r="K154" t="str">
        <v/>
      </c>
      <c r="L154" t="str">
        <v>Enviar Email 1</v>
      </c>
      <c r="M154" t="str">
        <v/>
      </c>
      <c r="N154" t="str">
        <v>15 equipos · Pres: REMEDIOS VILLARINO GONZALES</v>
      </c>
    </row>
    <row r="155">
      <c r="A155" t="str">
        <v>C.D. MORATA</v>
      </c>
      <c r="B155" t="str">
        <v>Morata De Tajuña, Madrid</v>
      </c>
      <c r="C155" t="str">
        <v>https://.CD.MORATA</v>
      </c>
      <c r="D155" t="str">
        <v>penamadridistamdt@hotmail.com</v>
      </c>
      <c r="E155" t="str">
        <v>696937753</v>
      </c>
      <c r="F155" t="str">
        <v>Fútbol · RFFM</v>
      </c>
      <c r="G155" t="str">
        <v>Nuevo</v>
      </c>
      <c r="H155" t="str">
        <v/>
      </c>
      <c r="I155" t="str">
        <v/>
      </c>
      <c r="J155" t="str">
        <v>0</v>
      </c>
      <c r="K155" t="str">
        <v/>
      </c>
      <c r="L155" t="str">
        <v>Enviar Email 1</v>
      </c>
      <c r="M155" t="str">
        <v/>
      </c>
      <c r="N155" t="str">
        <v>4 equipos · Pres: EUGENIO VILLEGAS PLAZA</v>
      </c>
    </row>
    <row r="156">
      <c r="A156" t="str">
        <v>A.J.D.C. LA MANCHA</v>
      </c>
      <c r="B156" t="str">
        <v>Madrid, Madrid</v>
      </c>
      <c r="C156" t="str">
        <v>https://ajdc_la_mancha@hotmail.com</v>
      </c>
      <c r="D156" t="str">
        <v>ajdc_la_mancha@hotmail.com</v>
      </c>
      <c r="E156" t="str">
        <v>646229565</v>
      </c>
      <c r="F156" t="str">
        <v>Fútbol · RFFM</v>
      </c>
      <c r="G156" t="str">
        <v>Nuevo</v>
      </c>
      <c r="H156" t="str">
        <v/>
      </c>
      <c r="I156" t="str">
        <v/>
      </c>
      <c r="J156" t="str">
        <v>0</v>
      </c>
      <c r="K156" t="str">
        <v/>
      </c>
      <c r="L156" t="str">
        <v>Enviar Email 1</v>
      </c>
      <c r="M156" t="str">
        <v/>
      </c>
      <c r="N156" t="str">
        <v>15 equipos · Pres: DAVID ARROYO PEDRAZA · FB:adclamancha · IG:adclamancha</v>
      </c>
    </row>
    <row r="157">
      <c r="A157" t="str">
        <v>ESCOLAPIOS DE GETAFE</v>
      </c>
      <c r="B157" t="str">
        <v>Getafe, Madrid</v>
      </c>
      <c r="C157" t="str">
        <v>verificar</v>
      </c>
      <c r="D157" t="str">
        <v>madcup.extraescolares@gmail.com</v>
      </c>
      <c r="E157" t="str">
        <v>644339996</v>
      </c>
      <c r="F157" t="str">
        <v>Fútbol · RFFM</v>
      </c>
      <c r="G157" t="str">
        <v>Nuevo</v>
      </c>
      <c r="H157" t="str">
        <v/>
      </c>
      <c r="I157" t="str">
        <v/>
      </c>
      <c r="J157" t="str">
        <v>0</v>
      </c>
      <c r="K157" t="str">
        <v/>
      </c>
      <c r="L157" t="str">
        <v>Enviar Email 1</v>
      </c>
      <c r="M157" t="str">
        <v/>
      </c>
      <c r="N157" t="str">
        <v>6 equipos · Pres: MIGUEL ANGEL BENZAL ALIA</v>
      </c>
    </row>
    <row r="158">
      <c r="A158" t="str">
        <v>ESCUELA DE FUTBOL DE VICALVARO</v>
      </c>
      <c r="B158" t="str">
        <v>Madrid, Madrid</v>
      </c>
      <c r="C158" t="str">
        <v>https://efvicalvaro.com</v>
      </c>
      <c r="D158" t="str">
        <v>verificar</v>
      </c>
      <c r="E158" t="str">
        <v>917751187</v>
      </c>
      <c r="F158" t="str">
        <v>Fútbol · RFFM</v>
      </c>
      <c r="G158" t="str">
        <v>Nuevo</v>
      </c>
      <c r="H158" t="str">
        <v/>
      </c>
      <c r="I158" t="str">
        <v/>
      </c>
      <c r="J158" t="str">
        <v>0</v>
      </c>
      <c r="K158" t="str">
        <v/>
      </c>
      <c r="L158" t="str">
        <v>Enviar Email 1</v>
      </c>
      <c r="M158" t="str">
        <v/>
      </c>
      <c r="N158" t="str">
        <v>21 equipos · Pres: RAFAEL JUAN AIBAR</v>
      </c>
    </row>
    <row r="159">
      <c r="A159" t="str">
        <v>ATLETICO CHOPERA ALCOBENDAS 04</v>
      </c>
      <c r="B159" t="str">
        <v>Alcobendas, Madrid</v>
      </c>
      <c r="C159" t="str">
        <v>http://www.alcobendas04.com</v>
      </c>
      <c r="D159" t="str">
        <v>webmaster@alcobendas04.com</v>
      </c>
      <c r="E159" t="str">
        <v>676901346</v>
      </c>
      <c r="F159" t="str">
        <v>Fútbol · RFFM</v>
      </c>
      <c r="G159" t="str">
        <v>Nuevo</v>
      </c>
      <c r="H159" t="str">
        <v/>
      </c>
      <c r="I159" t="str">
        <v/>
      </c>
      <c r="J159" t="str">
        <v>0</v>
      </c>
      <c r="K159" t="str">
        <v/>
      </c>
      <c r="L159" t="str">
        <v>Enviar Email 1</v>
      </c>
      <c r="M159" t="str">
        <v/>
      </c>
      <c r="N159" t="str">
        <v>44 equipos · Pres: JOSE ANTONIO GALLEGO LOZANO</v>
      </c>
    </row>
    <row r="160">
      <c r="A160" t="str">
        <v>C.D. MECO</v>
      </c>
      <c r="B160" t="str">
        <v>Meco, Madrid</v>
      </c>
      <c r="C160" t="str">
        <v>https://www.clubdeportivomeco.es</v>
      </c>
      <c r="D160" t="str">
        <v>cdfmeco@gmail.com</v>
      </c>
      <c r="E160" t="str">
        <v>912656719</v>
      </c>
      <c r="F160" t="str">
        <v>Fútbol · RFFM</v>
      </c>
      <c r="G160" t="str">
        <v>Nuevo</v>
      </c>
      <c r="H160" t="str">
        <v/>
      </c>
      <c r="I160" t="str">
        <v/>
      </c>
      <c r="J160" t="str">
        <v>0</v>
      </c>
      <c r="K160" t="str">
        <v/>
      </c>
      <c r="L160" t="str">
        <v>Enviar Email 1</v>
      </c>
      <c r="M160" t="str">
        <v/>
      </c>
      <c r="N160" t="str">
        <v>15 equipos · Pres: ALBERTO NUÑEZ GIL</v>
      </c>
    </row>
    <row r="161">
      <c r="A161" t="str">
        <v>PERISO CLUB DE FUTBOL</v>
      </c>
      <c r="B161" t="str">
        <v>0, Madrid</v>
      </c>
      <c r="C161" t="str">
        <v>https://efperiso.ffmadrid.org</v>
      </c>
      <c r="D161" t="str">
        <v>info@perisocf.es</v>
      </c>
      <c r="E161" t="str">
        <v>626513817</v>
      </c>
      <c r="F161" t="str">
        <v>Fútbol · RFFM</v>
      </c>
      <c r="G161" t="str">
        <v>Nuevo</v>
      </c>
      <c r="H161" t="str">
        <v/>
      </c>
      <c r="I161" t="str">
        <v/>
      </c>
      <c r="J161" t="str">
        <v>0</v>
      </c>
      <c r="K161" t="str">
        <v/>
      </c>
      <c r="L161" t="str">
        <v>Enviar Email 1</v>
      </c>
      <c r="M161" t="str">
        <v/>
      </c>
      <c r="N161" t="str">
        <v>21 equipos · Pres: MANUEL SANCHIS HONTIYUELO</v>
      </c>
    </row>
    <row r="162">
      <c r="A162" t="str">
        <v>CLUB C.F. CAMPO REAL 89</v>
      </c>
      <c r="B162" t="str">
        <v>Campo Real, Madrid</v>
      </c>
      <c r="C162" t="str">
        <v>https://www.cfcamporeal.es</v>
      </c>
      <c r="D162" t="str">
        <v>clubfutbolcamporeal@gmail.com</v>
      </c>
      <c r="E162" t="str">
        <v>611231691</v>
      </c>
      <c r="F162" t="str">
        <v>Fútbol · RFFM</v>
      </c>
      <c r="G162" t="str">
        <v>Nuevo</v>
      </c>
      <c r="H162" t="str">
        <v/>
      </c>
      <c r="I162" t="str">
        <v/>
      </c>
      <c r="J162" t="str">
        <v>0</v>
      </c>
      <c r="K162" t="str">
        <v/>
      </c>
      <c r="L162" t="str">
        <v>Enviar Email 1</v>
      </c>
      <c r="M162" t="str">
        <v/>
      </c>
      <c r="N162" t="str">
        <v>11 equipos · Pres: EUSEBIO GONZALEZ RUBIO</v>
      </c>
    </row>
    <row r="163">
      <c r="A163" t="str">
        <v xml:space="preserve">C.F. HOYO DE MANZANARES </v>
      </c>
      <c r="B163" t="str">
        <v>Hoyo De Manzanares, Madrid</v>
      </c>
      <c r="C163" t="str">
        <v>https://cfhoyodemanzanares.es/</v>
      </c>
      <c r="D163" t="str">
        <v>administracion@cfhoyodemanzanares.es</v>
      </c>
      <c r="E163" t="str">
        <v>661836849</v>
      </c>
      <c r="F163" t="str">
        <v>Fútbol · RFFM</v>
      </c>
      <c r="G163" t="str">
        <v>Nuevo</v>
      </c>
      <c r="H163" t="str">
        <v/>
      </c>
      <c r="I163" t="str">
        <v/>
      </c>
      <c r="J163" t="str">
        <v>0</v>
      </c>
      <c r="K163" t="str">
        <v/>
      </c>
      <c r="L163" t="str">
        <v>Enviar Email 1</v>
      </c>
      <c r="M163" t="str">
        <v/>
      </c>
      <c r="N163" t="str">
        <v>12 equipos · Pres: MARIA DOLORES SANCHEZ MORENO · FB:https://www.facebook.com/share/16oQX6xQoc/?mibextid=wwXIfr · IG:https://www.instagram.c</v>
      </c>
    </row>
    <row r="164">
      <c r="A164" t="str">
        <v>CULTURAL UNION LEGANES</v>
      </c>
      <c r="B164" t="str">
        <v>Leganés, Madrid</v>
      </c>
      <c r="C164" t="str">
        <v>https://unionleganes.com</v>
      </c>
      <c r="D164" t="str">
        <v>culturalunionleganes@gmail.com</v>
      </c>
      <c r="E164" t="str">
        <v>601265430</v>
      </c>
      <c r="F164" t="str">
        <v>Fútbol · RFFM</v>
      </c>
      <c r="G164" t="str">
        <v>Nuevo</v>
      </c>
      <c r="H164" t="str">
        <v/>
      </c>
      <c r="I164" t="str">
        <v/>
      </c>
      <c r="J164" t="str">
        <v>0</v>
      </c>
      <c r="K164" t="str">
        <v/>
      </c>
      <c r="L164" t="str">
        <v>Enviar Email 1</v>
      </c>
      <c r="M164" t="str">
        <v/>
      </c>
      <c r="N164" t="str">
        <v>10 equipos · Pres: LUIS CARRASCO · IG:UnionLeganes Leganes</v>
      </c>
    </row>
    <row r="165">
      <c r="A165" t="str">
        <v>CLUB CHAMARTIN-R</v>
      </c>
      <c r="B165" t="str">
        <v>Madrid, Madrid</v>
      </c>
      <c r="C165" t="str">
        <v>verificar</v>
      </c>
      <c r="D165" t="str">
        <v>verificar</v>
      </c>
      <c r="E165" t="str">
        <v>913025634</v>
      </c>
      <c r="F165" t="str">
        <v>Fútbol · RFFM</v>
      </c>
      <c r="G165" t="str">
        <v>Nuevo</v>
      </c>
      <c r="H165" t="str">
        <v/>
      </c>
      <c r="I165" t="str">
        <v/>
      </c>
      <c r="J165" t="str">
        <v>0</v>
      </c>
      <c r="K165" t="str">
        <v/>
      </c>
      <c r="L165" t="str">
        <v>Enviar Email 1</v>
      </c>
      <c r="M165" t="str">
        <v/>
      </c>
      <c r="N165" t="str">
        <v>8 equipos · Pres: JOSE RICARDO PINDADO RAEBURN</v>
      </c>
    </row>
    <row r="166">
      <c r="A166" t="str">
        <v>C.D. PUERTA BONITA</v>
      </c>
      <c r="B166" t="str">
        <v>Madrid, Madrid</v>
      </c>
      <c r="C166" t="str">
        <v>https://cdpuertabonita.rffm.es</v>
      </c>
      <c r="D166" t="str">
        <v>cdenuevopuertabonita@gmail.com</v>
      </c>
      <c r="E166" t="str">
        <v>629019570</v>
      </c>
      <c r="F166" t="str">
        <v>Fútbol · RFFM</v>
      </c>
      <c r="G166" t="str">
        <v>Nuevo</v>
      </c>
      <c r="H166" t="str">
        <v/>
      </c>
      <c r="I166" t="str">
        <v/>
      </c>
      <c r="J166" t="str">
        <v>0</v>
      </c>
      <c r="K166" t="str">
        <v/>
      </c>
      <c r="L166" t="str">
        <v>Enviar Email 1</v>
      </c>
      <c r="M166" t="str">
        <v/>
      </c>
      <c r="N166" t="str">
        <v>1 equipos · Pres: MANUEL CAMPA VALLE</v>
      </c>
    </row>
    <row r="167">
      <c r="A167" t="str">
        <v>C.D. LOS YEBENES-SAN BRUNO</v>
      </c>
      <c r="B167" t="str">
        <v>Madrid, Madrid</v>
      </c>
      <c r="C167" t="str">
        <v>https://losyebenessanbruno.com</v>
      </c>
      <c r="D167" t="str">
        <v>losyebenessanbruno@hotmail.com</v>
      </c>
      <c r="E167" t="str">
        <v>600967512</v>
      </c>
      <c r="F167" t="str">
        <v>Fútbol · RFFM</v>
      </c>
      <c r="G167" t="str">
        <v>Nuevo</v>
      </c>
      <c r="H167" t="str">
        <v/>
      </c>
      <c r="I167" t="str">
        <v/>
      </c>
      <c r="J167" t="str">
        <v>0</v>
      </c>
      <c r="K167" t="str">
        <v/>
      </c>
      <c r="L167" t="str">
        <v>Enviar Email 1</v>
      </c>
      <c r="M167" t="str">
        <v/>
      </c>
      <c r="N167" t="str">
        <v>23 equipos · Pres: JULIO RODRIGUEZ RODRIGUEZ</v>
      </c>
    </row>
    <row r="168">
      <c r="A168" t="str">
        <v>C.D. OROQUIETA VILLAVERDE BUTARQUE</v>
      </c>
      <c r="B168" t="str">
        <v>Madrid, Madrid</v>
      </c>
      <c r="C168" t="str">
        <v>verificar</v>
      </c>
      <c r="D168" t="str">
        <v>ovbutarque@gmail.com</v>
      </c>
      <c r="E168" t="str">
        <v>verificar</v>
      </c>
      <c r="F168" t="str">
        <v>Fútbol · RFFM</v>
      </c>
      <c r="G168" t="str">
        <v>Nuevo</v>
      </c>
      <c r="H168" t="str">
        <v/>
      </c>
      <c r="I168" t="str">
        <v/>
      </c>
      <c r="J168" t="str">
        <v>0</v>
      </c>
      <c r="K168" t="str">
        <v/>
      </c>
      <c r="L168" t="str">
        <v>Enviar Email 1</v>
      </c>
      <c r="M168" t="str">
        <v/>
      </c>
      <c r="N168" t="str">
        <v>10 equipos · Pres: **JOSE ANTONIO HERNANDEZ NAVARRO</v>
      </c>
    </row>
    <row r="169">
      <c r="A169" t="str">
        <v>C.D. ESCOLAPIOS ALCALA</v>
      </c>
      <c r="B169" t="str">
        <v>Alcalá De Henares, Madrid</v>
      </c>
      <c r="C169" t="str">
        <v>verificar</v>
      </c>
      <c r="D169" t="str">
        <v>deportes@escolapiosalcala.es</v>
      </c>
      <c r="E169" t="str">
        <v>666802743</v>
      </c>
      <c r="F169" t="str">
        <v>Fútbol · RFFM</v>
      </c>
      <c r="G169" t="str">
        <v>Nuevo</v>
      </c>
      <c r="H169" t="str">
        <v/>
      </c>
      <c r="I169" t="str">
        <v/>
      </c>
      <c r="J169" t="str">
        <v>0</v>
      </c>
      <c r="K169" t="str">
        <v/>
      </c>
      <c r="L169" t="str">
        <v>Enviar Email 1</v>
      </c>
      <c r="M169" t="str">
        <v/>
      </c>
      <c r="N169" t="str">
        <v>14 equipos · Pres: FRANCISCO JOSE MORATALLA CAMACHO</v>
      </c>
    </row>
    <row r="170">
      <c r="A170" t="str">
        <v>C.D. SAN CRISTOBAL DE LOS ANGELES</v>
      </c>
      <c r="B170" t="str">
        <v>Madrid, Madrid</v>
      </c>
      <c r="C170" t="str">
        <v>verificar</v>
      </c>
      <c r="D170" t="str">
        <v>cdsancristobaldelosangeles@hotmail.com</v>
      </c>
      <c r="E170" t="str">
        <v>606104364</v>
      </c>
      <c r="F170" t="str">
        <v>Fútbol · RFFM</v>
      </c>
      <c r="G170" t="str">
        <v>Nuevo</v>
      </c>
      <c r="H170" t="str">
        <v/>
      </c>
      <c r="I170" t="str">
        <v/>
      </c>
      <c r="J170" t="str">
        <v>0</v>
      </c>
      <c r="K170" t="str">
        <v/>
      </c>
      <c r="L170" t="str">
        <v>Enviar Email 1</v>
      </c>
      <c r="M170" t="str">
        <v/>
      </c>
      <c r="N170" t="str">
        <v>22 equipos · Pres: JESUS SUAREZ MORALES</v>
      </c>
    </row>
    <row r="171">
      <c r="A171" t="str">
        <v>A.D. JUVENTUD TORREJON</v>
      </c>
      <c r="B171" t="str">
        <v>Torrejón De Ardoz, Madrid</v>
      </c>
      <c r="C171" t="str">
        <v>https://juventudtorrejon.es</v>
      </c>
      <c r="D171" t="str">
        <v>adjuventud32@yahoo.com</v>
      </c>
      <c r="E171" t="str">
        <v>649391043</v>
      </c>
      <c r="F171" t="str">
        <v>Fútbol · RFFM</v>
      </c>
      <c r="G171" t="str">
        <v>Nuevo</v>
      </c>
      <c r="H171" t="str">
        <v/>
      </c>
      <c r="I171" t="str">
        <v/>
      </c>
      <c r="J171" t="str">
        <v>0</v>
      </c>
      <c r="K171" t="str">
        <v/>
      </c>
      <c r="L171" t="str">
        <v>Enviar Email 1</v>
      </c>
      <c r="M171" t="str">
        <v/>
      </c>
      <c r="N171" t="str">
        <v>20 equipos · Pres: PEDRO CASTILLA DIAZ</v>
      </c>
    </row>
    <row r="172">
      <c r="A172" t="str">
        <v>PEÑA MADRIDISTA 3000 GOLES</v>
      </c>
      <c r="B172" t="str">
        <v>Alcorcón, Madrid</v>
      </c>
      <c r="C172" t="str">
        <v>https://www.pm3000goles.com</v>
      </c>
      <c r="D172" t="str">
        <v>pm3000goles@gmail.com</v>
      </c>
      <c r="E172" t="str">
        <v>637451028</v>
      </c>
      <c r="F172" t="str">
        <v>Fútbol · RFFM</v>
      </c>
      <c r="G172" t="str">
        <v>Nuevo</v>
      </c>
      <c r="H172" t="str">
        <v/>
      </c>
      <c r="I172" t="str">
        <v/>
      </c>
      <c r="J172" t="str">
        <v>0</v>
      </c>
      <c r="K172" t="str">
        <v/>
      </c>
      <c r="L172" t="str">
        <v>Enviar Email 1</v>
      </c>
      <c r="M172" t="str">
        <v/>
      </c>
      <c r="N172" t="str">
        <v>11 equipos · Pres: FRANCISCO JAVIER REY GARCIA</v>
      </c>
    </row>
    <row r="173">
      <c r="A173" t="str">
        <v>F.C. ZARZAQUEMADA</v>
      </c>
      <c r="B173" t="str">
        <v>Leganés, Madrid</v>
      </c>
      <c r="C173" t="str">
        <v>https://www.fczarzaquemada.com</v>
      </c>
      <c r="D173" t="str">
        <v>Futbolclubzarzaquemada@gmail.com</v>
      </c>
      <c r="E173" t="str">
        <v>616302603</v>
      </c>
      <c r="F173" t="str">
        <v>Fútbol · RFFM</v>
      </c>
      <c r="G173" t="str">
        <v>Nuevo</v>
      </c>
      <c r="H173" t="str">
        <v/>
      </c>
      <c r="I173" t="str">
        <v/>
      </c>
      <c r="J173" t="str">
        <v>0</v>
      </c>
      <c r="K173" t="str">
        <v/>
      </c>
      <c r="L173" t="str">
        <v>Enviar Email 1</v>
      </c>
      <c r="M173" t="str">
        <v/>
      </c>
      <c r="N173" t="str">
        <v>2 equipos · Pres: ALBERTO DE FRUTOS BALLESTEROS</v>
      </c>
    </row>
    <row r="174">
      <c r="A174" t="str">
        <v>C.D. VILLAREJO-69</v>
      </c>
      <c r="B174" t="str">
        <v>0, Madrid</v>
      </c>
      <c r="C174" t="str">
        <v>verificar</v>
      </c>
      <c r="D174" t="str">
        <v>clubdeportivovillarejo69@hotmail.com</v>
      </c>
      <c r="E174" t="str">
        <v>918745208</v>
      </c>
      <c r="F174" t="str">
        <v>Fútbol · RFFM</v>
      </c>
      <c r="G174" t="str">
        <v>Nuevo</v>
      </c>
      <c r="H174" t="str">
        <v/>
      </c>
      <c r="I174" t="str">
        <v/>
      </c>
      <c r="J174" t="str">
        <v>0</v>
      </c>
      <c r="K174" t="str">
        <v/>
      </c>
      <c r="L174" t="str">
        <v>Enviar Email 1</v>
      </c>
      <c r="M174" t="str">
        <v/>
      </c>
      <c r="N174" t="str">
        <v>1 equipos · Pres: SEGUNDO DIAZ DIAZ</v>
      </c>
    </row>
    <row r="175">
      <c r="A175" t="str">
        <v>A.D.C. PARQUE MAYOR</v>
      </c>
      <c r="B175" t="str">
        <v>Alcorcón, Madrid</v>
      </c>
      <c r="C175" t="str">
        <v>verificar</v>
      </c>
      <c r="D175" t="str">
        <v>Ivanbarca89@gmail.com</v>
      </c>
      <c r="E175" t="str">
        <v>639001222</v>
      </c>
      <c r="F175" t="str">
        <v>Fútbol · RFFM</v>
      </c>
      <c r="G175" t="str">
        <v>Nuevo</v>
      </c>
      <c r="H175" t="str">
        <v/>
      </c>
      <c r="I175" t="str">
        <v/>
      </c>
      <c r="J175" t="str">
        <v>0</v>
      </c>
      <c r="K175" t="str">
        <v/>
      </c>
      <c r="L175" t="str">
        <v>Enviar Email 1</v>
      </c>
      <c r="M175" t="str">
        <v/>
      </c>
      <c r="N175" t="str">
        <v>1 equipos · Pres: IVAN DIEZ MARTINEZ</v>
      </c>
    </row>
    <row r="176">
      <c r="A176" t="str">
        <v>JUVENTUD SANSE</v>
      </c>
      <c r="B176" t="str">
        <v>San Sebastián De Los Reyes, Madrid</v>
      </c>
      <c r="C176" t="str">
        <v>https://www.juventudsanse.es</v>
      </c>
      <c r="D176" t="str">
        <v>js@juventudsanse.es</v>
      </c>
      <c r="E176" t="str">
        <v>629429081</v>
      </c>
      <c r="F176" t="str">
        <v>Fútbol · RFFM</v>
      </c>
      <c r="G176" t="str">
        <v>Nuevo</v>
      </c>
      <c r="H176" t="str">
        <v/>
      </c>
      <c r="I176" t="str">
        <v/>
      </c>
      <c r="J176" t="str">
        <v>0</v>
      </c>
      <c r="K176" t="str">
        <v/>
      </c>
      <c r="L176" t="str">
        <v>Enviar Email 1</v>
      </c>
      <c r="M176" t="str">
        <v/>
      </c>
      <c r="N176" t="str">
        <v>76 equipos · Pres: CESAR DAVID QUINTERO DEL VALLE · FB:https://www.facebook.com/EFJuventudSanse · IG:https://www.instagram.com/juventudsanse</v>
      </c>
    </row>
    <row r="177">
      <c r="A177" t="str">
        <v>ADC ESCUELA FUTBOL BARRIO PILAR</v>
      </c>
      <c r="B177" t="str">
        <v>Madrid, Madrid</v>
      </c>
      <c r="C177" t="str">
        <v>verificar</v>
      </c>
      <c r="D177" t="str">
        <v>jcarlos7777@gmail.com</v>
      </c>
      <c r="E177" t="str">
        <v>629063776</v>
      </c>
      <c r="F177" t="str">
        <v>Fútbol · RFFM</v>
      </c>
      <c r="G177" t="str">
        <v>Nuevo</v>
      </c>
      <c r="H177" t="str">
        <v/>
      </c>
      <c r="I177" t="str">
        <v/>
      </c>
      <c r="J177" t="str">
        <v>0</v>
      </c>
      <c r="K177" t="str">
        <v/>
      </c>
      <c r="L177" t="str">
        <v>Enviar Email 1</v>
      </c>
      <c r="M177" t="str">
        <v/>
      </c>
      <c r="N177" t="str">
        <v>15 equipos · Pres: ANGEL RUIZ ESTEBAN</v>
      </c>
    </row>
    <row r="178">
      <c r="A178" t="str">
        <v>C.F.D. FUTURO SAN FRANCISCO</v>
      </c>
      <c r="B178" t="str">
        <v>Alcalá De Henares, Madrid</v>
      </c>
      <c r="C178" t="str">
        <v>verificar</v>
      </c>
      <c r="D178" t="str">
        <v>C23776</v>
      </c>
      <c r="E178" t="str">
        <v>608987202</v>
      </c>
      <c r="F178" t="str">
        <v>Fútbol · RFFM</v>
      </c>
      <c r="G178" t="str">
        <v>Nuevo</v>
      </c>
      <c r="H178" t="str">
        <v/>
      </c>
      <c r="I178" t="str">
        <v/>
      </c>
      <c r="J178" t="str">
        <v>0</v>
      </c>
      <c r="K178" t="str">
        <v/>
      </c>
      <c r="L178" t="str">
        <v>Enviar Email 1</v>
      </c>
      <c r="M178" t="str">
        <v/>
      </c>
      <c r="N178" t="str">
        <v>10 equipos · Pres: FRANCISCO CABALLERO MOYA</v>
      </c>
    </row>
    <row r="179">
      <c r="A179" t="str">
        <v>A.D.C.R. LEMANS</v>
      </c>
      <c r="B179" t="str">
        <v>Leganés, Madrid</v>
      </c>
      <c r="C179" t="str">
        <v>verificar</v>
      </c>
      <c r="D179" t="str">
        <v>adcrlemans0@gmail.com</v>
      </c>
      <c r="E179" t="str">
        <v>699740698</v>
      </c>
      <c r="F179" t="str">
        <v>Fútbol · RFFM</v>
      </c>
      <c r="G179" t="str">
        <v>Nuevo</v>
      </c>
      <c r="H179" t="str">
        <v/>
      </c>
      <c r="I179" t="str">
        <v/>
      </c>
      <c r="J179" t="str">
        <v>0</v>
      </c>
      <c r="K179" t="str">
        <v/>
      </c>
      <c r="L179" t="str">
        <v>Enviar Email 1</v>
      </c>
      <c r="M179" t="str">
        <v/>
      </c>
      <c r="N179" t="str">
        <v>14 equipos · Pres: JOSE ANTONIO GARCIA GOMEZ · IG:Adcrlemans</v>
      </c>
    </row>
    <row r="180">
      <c r="A180" t="str">
        <v>CLUB ALAMEDA DE OSUNA ESCUELAS DE FUTBOL</v>
      </c>
      <c r="B180" t="str">
        <v>Madrid, Madrid</v>
      </c>
      <c r="C180" t="str">
        <v>https://www.alamedadeosunaef.com</v>
      </c>
      <c r="D180" t="str">
        <v>info@alamedadeosunaef.com</v>
      </c>
      <c r="E180" t="str">
        <v>661070226</v>
      </c>
      <c r="F180" t="str">
        <v>Fútbol · RFFM</v>
      </c>
      <c r="G180" t="str">
        <v>Nuevo</v>
      </c>
      <c r="H180" t="str">
        <v/>
      </c>
      <c r="I180" t="str">
        <v/>
      </c>
      <c r="J180" t="str">
        <v>0</v>
      </c>
      <c r="K180" t="str">
        <v/>
      </c>
      <c r="L180" t="str">
        <v>Enviar Email 1</v>
      </c>
      <c r="M180" t="str">
        <v/>
      </c>
      <c r="N180" t="str">
        <v>19 equipos · Pres: MIGUEL MARTINEZ MARTIN</v>
      </c>
    </row>
    <row r="181">
      <c r="A181" t="str">
        <v>C.F. INTER DE VALDEMORO</v>
      </c>
      <c r="B181" t="str">
        <v>Valdemoro, Madrid</v>
      </c>
      <c r="C181" t="str">
        <v>https://interdevaldemoro.com/</v>
      </c>
      <c r="D181" t="str">
        <v>Interdevaldemoro@gmail.com</v>
      </c>
      <c r="E181" t="str">
        <v>647537119</v>
      </c>
      <c r="F181" t="str">
        <v>Fútbol · RFFM</v>
      </c>
      <c r="G181" t="str">
        <v>Nuevo</v>
      </c>
      <c r="H181" t="str">
        <v/>
      </c>
      <c r="I181" t="str">
        <v/>
      </c>
      <c r="J181" t="str">
        <v>0</v>
      </c>
      <c r="K181" t="str">
        <v/>
      </c>
      <c r="L181" t="str">
        <v>Enviar Email 1</v>
      </c>
      <c r="M181" t="str">
        <v/>
      </c>
      <c r="N181" t="str">
        <v>37 equipos · Pres: CASILDO PORTUGUES PEREZ</v>
      </c>
    </row>
    <row r="182">
      <c r="A182" t="str">
        <v>DEPORTIVO A.V. SANTA ANA</v>
      </c>
      <c r="B182" t="str">
        <v>Madrid, Madrid</v>
      </c>
      <c r="C182" t="str">
        <v>https://www.davsantaana.es</v>
      </c>
      <c r="D182" t="str">
        <v>davsantaana@hotmail.es</v>
      </c>
      <c r="E182" t="str">
        <v>917350851</v>
      </c>
      <c r="F182" t="str">
        <v>Fútbol · RFFM</v>
      </c>
      <c r="G182" t="str">
        <v>Nuevo</v>
      </c>
      <c r="H182" t="str">
        <v/>
      </c>
      <c r="I182" t="str">
        <v/>
      </c>
      <c r="J182" t="str">
        <v>0</v>
      </c>
      <c r="K182" t="str">
        <v/>
      </c>
      <c r="L182" t="str">
        <v>Enviar Email 1</v>
      </c>
      <c r="M182" t="str">
        <v/>
      </c>
      <c r="N182" t="str">
        <v>11 equipos · Pres: RAFAEL GONZALEZ FERNANDEZ · IG:davsantaana</v>
      </c>
    </row>
    <row r="183">
      <c r="A183" t="str">
        <v>FUNDACION ADF</v>
      </c>
      <c r="B183" t="str">
        <v>Madrid, Madrid</v>
      </c>
      <c r="C183" t="str">
        <v>verificar</v>
      </c>
      <c r="D183" t="str">
        <v>adfundacion@gmail.com</v>
      </c>
      <c r="E183" t="str">
        <v>659880888</v>
      </c>
      <c r="F183" t="str">
        <v>Fútbol · RFFM</v>
      </c>
      <c r="G183" t="str">
        <v>Nuevo</v>
      </c>
      <c r="H183" t="str">
        <v/>
      </c>
      <c r="I183" t="str">
        <v/>
      </c>
      <c r="J183" t="str">
        <v>0</v>
      </c>
      <c r="K183" t="str">
        <v/>
      </c>
      <c r="L183" t="str">
        <v>Enviar Email 1</v>
      </c>
      <c r="M183" t="str">
        <v/>
      </c>
      <c r="N183" t="str">
        <v>31 equipos · Pres: EDUARDO AGUILAR SANCHEZ</v>
      </c>
    </row>
    <row r="184">
      <c r="A184" t="str">
        <v>A.D. ESCUELA DE FUTBOL USERA</v>
      </c>
      <c r="B184" t="str">
        <v>Madrid, Madrid</v>
      </c>
      <c r="C184" t="str">
        <v>verificar</v>
      </c>
      <c r="D184" t="str">
        <v>escueladefutbolusera@gmail.com</v>
      </c>
      <c r="E184" t="str">
        <v>637847656</v>
      </c>
      <c r="F184" t="str">
        <v>Fútbol · RFFM</v>
      </c>
      <c r="G184" t="str">
        <v>Nuevo</v>
      </c>
      <c r="H184" t="str">
        <v/>
      </c>
      <c r="I184" t="str">
        <v/>
      </c>
      <c r="J184" t="str">
        <v>0</v>
      </c>
      <c r="K184" t="str">
        <v/>
      </c>
      <c r="L184" t="str">
        <v>Enviar Email 1</v>
      </c>
      <c r="M184" t="str">
        <v/>
      </c>
      <c r="N184" t="str">
        <v>19 equipos · Pres: ANGEL LUIS MARTINEZ GOMEZ · FB:Escuela de Futbol Usera · IG:@efusera</v>
      </c>
    </row>
    <row r="185">
      <c r="A185" t="str">
        <v>A.D.C. LACOMA</v>
      </c>
      <c r="B185" t="str">
        <v>Madrid, Madrid</v>
      </c>
      <c r="C185" t="str">
        <v>https://www.adclacoma.es</v>
      </c>
      <c r="D185" t="str">
        <v>franlacoma@hotmail.com</v>
      </c>
      <c r="E185" t="str">
        <v>629121322</v>
      </c>
      <c r="F185" t="str">
        <v>Fútbol · RFFM</v>
      </c>
      <c r="G185" t="str">
        <v>Nuevo</v>
      </c>
      <c r="H185" t="str">
        <v/>
      </c>
      <c r="I185" t="str">
        <v/>
      </c>
      <c r="J185" t="str">
        <v>0</v>
      </c>
      <c r="K185" t="str">
        <v/>
      </c>
      <c r="L185" t="str">
        <v>Enviar Email 1</v>
      </c>
      <c r="M185" t="str">
        <v/>
      </c>
      <c r="N185" t="str">
        <v>1 equipos · Pres: FRANCISCO JAVIER DE LAS HERAS PEREZ</v>
      </c>
    </row>
    <row r="186">
      <c r="A186" t="str">
        <v>A.D. ALHONDIGA</v>
      </c>
      <c r="B186" t="str">
        <v>Getafe, Madrid</v>
      </c>
      <c r="C186" t="str">
        <v>https://www.adalhondiga.com</v>
      </c>
      <c r="D186" t="str">
        <v>adalhondiga@hotmail.com</v>
      </c>
      <c r="E186" t="str">
        <v>661750790</v>
      </c>
      <c r="F186" t="str">
        <v>Fútbol · RFFM</v>
      </c>
      <c r="G186" t="str">
        <v>Nuevo</v>
      </c>
      <c r="H186" t="str">
        <v/>
      </c>
      <c r="I186" t="str">
        <v/>
      </c>
      <c r="J186" t="str">
        <v>0</v>
      </c>
      <c r="K186" t="str">
        <v/>
      </c>
      <c r="L186" t="str">
        <v>Enviar Email 1</v>
      </c>
      <c r="M186" t="str">
        <v/>
      </c>
      <c r="N186" t="str">
        <v>42 equipos · Pres: JOSE RODRIGUEZ CANEIRO</v>
      </c>
    </row>
    <row r="187">
      <c r="A187" t="str">
        <v>A.C.R. ATLETICO ALCOBENDAS</v>
      </c>
      <c r="B187" t="str">
        <v>Alcobendas, Madrid</v>
      </c>
      <c r="C187" t="str">
        <v>verificar</v>
      </c>
      <c r="D187" t="str">
        <v>isanchez10790@gmail.com</v>
      </c>
      <c r="E187" t="str">
        <v>680830550</v>
      </c>
      <c r="F187" t="str">
        <v>Fútbol · RFFM</v>
      </c>
      <c r="G187" t="str">
        <v>Nuevo</v>
      </c>
      <c r="H187" t="str">
        <v/>
      </c>
      <c r="I187" t="str">
        <v/>
      </c>
      <c r="J187" t="str">
        <v>0</v>
      </c>
      <c r="K187" t="str">
        <v/>
      </c>
      <c r="L187" t="str">
        <v>Enviar Email 1</v>
      </c>
      <c r="M187" t="str">
        <v/>
      </c>
      <c r="N187" t="str">
        <v>8 equipos · Pres: IVAN SANCHEZ RODRIGUEZ</v>
      </c>
    </row>
    <row r="188">
      <c r="A188" t="str">
        <v>A.D. ESCUELA DE FUTBOL DE CARABANCHEL</v>
      </c>
      <c r="B188" t="str">
        <v>Madrid, Madrid</v>
      </c>
      <c r="C188" t="str">
        <v>https://www.efcarabanchel.com</v>
      </c>
      <c r="D188" t="str">
        <v>info@efcarabanchel.com</v>
      </c>
      <c r="E188" t="str">
        <v>687417703</v>
      </c>
      <c r="F188" t="str">
        <v>Fútbol · RFFM</v>
      </c>
      <c r="G188" t="str">
        <v>Nuevo</v>
      </c>
      <c r="H188" t="str">
        <v/>
      </c>
      <c r="I188" t="str">
        <v/>
      </c>
      <c r="J188" t="str">
        <v>0</v>
      </c>
      <c r="K188" t="str">
        <v/>
      </c>
      <c r="L188" t="str">
        <v>Enviar Email 1</v>
      </c>
      <c r="M188" t="str">
        <v/>
      </c>
      <c r="N188" t="str">
        <v>42 equipos · Pres: JOSE LUIS POLO DIAZ · FB:https://www.facebook.com/EFCARABANCHEL · IG:https://www.instagram.com/efcarabanchel/</v>
      </c>
    </row>
    <row r="189">
      <c r="A189" t="str">
        <v>CLUB DE FUTBOL FEMENINO SUR-GETAFE</v>
      </c>
      <c r="B189" t="str">
        <v>Getafe, Madrid</v>
      </c>
      <c r="C189" t="str">
        <v>https://sur-getafe1.webnode.es</v>
      </c>
      <c r="D189" t="str">
        <v>surgetafeclub@gmail.com</v>
      </c>
      <c r="E189" t="str">
        <v>670292310</v>
      </c>
      <c r="F189" t="str">
        <v>Fútbol · RFFM</v>
      </c>
      <c r="G189" t="str">
        <v>Nuevo</v>
      </c>
      <c r="H189" t="str">
        <v/>
      </c>
      <c r="I189" t="str">
        <v/>
      </c>
      <c r="J189" t="str">
        <v>0</v>
      </c>
      <c r="K189" t="str">
        <v/>
      </c>
      <c r="L189" t="str">
        <v>Enviar Email 1</v>
      </c>
      <c r="M189" t="str">
        <v/>
      </c>
      <c r="N189" t="str">
        <v>1 equipos · Pres: MARIANO ANGEL MONREAL CARRASCO · FB:https://www.facebook.com/CFFSurGetafe · IG:https://www.instagram.com/surgetafecff</v>
      </c>
    </row>
    <row r="190">
      <c r="A190" t="str">
        <v>CULTURAL DEPORTIVA MIRAFLOR</v>
      </c>
      <c r="B190" t="str">
        <v>Fuenlabrada, Madrid</v>
      </c>
      <c r="C190" t="str">
        <v>https://www.acdmiraflor.es</v>
      </c>
      <c r="D190" t="str">
        <v>acdmiraflor@gmail.com</v>
      </c>
      <c r="E190" t="str">
        <v>916975596</v>
      </c>
      <c r="F190" t="str">
        <v>Fútbol · RFFM</v>
      </c>
      <c r="G190" t="str">
        <v>Nuevo</v>
      </c>
      <c r="H190" t="str">
        <v/>
      </c>
      <c r="I190" t="str">
        <v/>
      </c>
      <c r="J190" t="str">
        <v>0</v>
      </c>
      <c r="K190" t="str">
        <v/>
      </c>
      <c r="L190" t="str">
        <v>Enviar Email 1</v>
      </c>
      <c r="M190" t="str">
        <v/>
      </c>
      <c r="N190" t="str">
        <v>18 equipos · Pres: JULIAN MAESO MORENO · IG:acd_miraflor</v>
      </c>
    </row>
    <row r="191">
      <c r="A191" t="str">
        <v>C.D. RASCAFRIA</v>
      </c>
      <c r="B191" t="str">
        <v>Rascafría, Madrid</v>
      </c>
      <c r="C191" t="str">
        <v>verificar</v>
      </c>
      <c r="D191" t="str">
        <v>cdrascafria@gmail.com</v>
      </c>
      <c r="E191" t="str">
        <v>684223058</v>
      </c>
      <c r="F191" t="str">
        <v>Fútbol · RFFM</v>
      </c>
      <c r="G191" t="str">
        <v>Nuevo</v>
      </c>
      <c r="H191" t="str">
        <v/>
      </c>
      <c r="I191" t="str">
        <v/>
      </c>
      <c r="J191" t="str">
        <v>0</v>
      </c>
      <c r="K191" t="str">
        <v/>
      </c>
      <c r="L191" t="str">
        <v>Enviar Email 1</v>
      </c>
      <c r="M191" t="str">
        <v/>
      </c>
      <c r="N191" t="str">
        <v>1 equipos · Pres: ALBERTO JIMENEZ SANZ · IG:c.d.rascafria_</v>
      </c>
    </row>
    <row r="192">
      <c r="A192" t="str">
        <v>E.M.F. MORALEJA DE ENMEDIO</v>
      </c>
      <c r="B192" t="str">
        <v>Moraleja De Enmedio, Madrid</v>
      </c>
      <c r="C192" t="str">
        <v>https://www.emfmoralejadeenmedio.es</v>
      </c>
      <c r="D192" t="str">
        <v>futbolemfmoraleja@gmail.com</v>
      </c>
      <c r="E192" t="str">
        <v>verificar</v>
      </c>
      <c r="F192" t="str">
        <v>Fútbol · RFFM</v>
      </c>
      <c r="G192" t="str">
        <v>Nuevo</v>
      </c>
      <c r="H192" t="str">
        <v/>
      </c>
      <c r="I192" t="str">
        <v/>
      </c>
      <c r="J192" t="str">
        <v>0</v>
      </c>
      <c r="K192" t="str">
        <v/>
      </c>
      <c r="L192" t="str">
        <v>Enviar Email 1</v>
      </c>
      <c r="M192" t="str">
        <v/>
      </c>
      <c r="N192" t="str">
        <v>8 equipos · Pres: CAROLINA ESPINAR GARCIA-DORADO</v>
      </c>
    </row>
    <row r="193">
      <c r="A193" t="str">
        <v>CLUB SIELLO TENPLE F.C.</v>
      </c>
      <c r="B193" t="str">
        <v>Madrid, Madrid</v>
      </c>
      <c r="C193" t="str">
        <v>https://www.siello.football/</v>
      </c>
      <c r="D193" t="str">
        <v>verificar</v>
      </c>
      <c r="E193" t="str">
        <v>677631610</v>
      </c>
      <c r="F193" t="str">
        <v>Fútbol · RFFM</v>
      </c>
      <c r="G193" t="str">
        <v>Nuevo</v>
      </c>
      <c r="H193" t="str">
        <v/>
      </c>
      <c r="I193" t="str">
        <v/>
      </c>
      <c r="J193" t="str">
        <v>0</v>
      </c>
      <c r="K193" t="str">
        <v/>
      </c>
      <c r="L193" t="str">
        <v>Enviar Email 1</v>
      </c>
      <c r="M193" t="str">
        <v/>
      </c>
      <c r="N193" t="str">
        <v>1 equipos · Pres: DAVID SIERRA MANZANARES</v>
      </c>
    </row>
    <row r="194">
      <c r="A194" t="str">
        <v>C.D. RETAMAR-POZUELO</v>
      </c>
      <c r="B194" t="str">
        <v>Pozuelo De Alarcón, Madrid</v>
      </c>
      <c r="C194" t="str">
        <v>https://www.retamar.com</v>
      </c>
      <c r="D194" t="str">
        <v>escueladeportiva@retamar.es</v>
      </c>
      <c r="E194" t="str">
        <v>607536805</v>
      </c>
      <c r="F194" t="str">
        <v>Fútbol · RFFM</v>
      </c>
      <c r="G194" t="str">
        <v>Nuevo</v>
      </c>
      <c r="H194" t="str">
        <v/>
      </c>
      <c r="I194" t="str">
        <v/>
      </c>
      <c r="J194" t="str">
        <v>0</v>
      </c>
      <c r="K194" t="str">
        <v/>
      </c>
      <c r="L194" t="str">
        <v>Enviar Email 1</v>
      </c>
      <c r="M194" t="str">
        <v/>
      </c>
      <c r="N194" t="str">
        <v>12 equipos · Pres: JOSE MARIA GOMEZ SECO</v>
      </c>
    </row>
    <row r="195">
      <c r="A195" t="str">
        <v>ESCUELA DE FUTBOL ARGANDA</v>
      </c>
      <c r="B195" t="str">
        <v>Arganda Del Rey, Madrid</v>
      </c>
      <c r="C195" t="str">
        <v>https://efarganda.ffmadrid.org</v>
      </c>
      <c r="D195" t="str">
        <v>tecnico@efarganda.com</v>
      </c>
      <c r="E195" t="str">
        <v>673355005</v>
      </c>
      <c r="F195" t="str">
        <v>Fútbol · RFFM</v>
      </c>
      <c r="G195" t="str">
        <v>Nuevo</v>
      </c>
      <c r="H195" t="str">
        <v/>
      </c>
      <c r="I195" t="str">
        <v/>
      </c>
      <c r="J195" t="str">
        <v>0</v>
      </c>
      <c r="K195" t="str">
        <v/>
      </c>
      <c r="L195" t="str">
        <v>Enviar Email 1</v>
      </c>
      <c r="M195" t="str">
        <v/>
      </c>
      <c r="N195" t="str">
        <v>26 equipos · Pres: JOSE ANTONIO SAMPERIO SANCHEZ</v>
      </c>
    </row>
    <row r="196">
      <c r="A196" t="str">
        <v>C.D. TAJAMAR</v>
      </c>
      <c r="B196" t="str">
        <v>Madrid, Madrid</v>
      </c>
      <c r="C196" t="str">
        <v>https://www.tajamar.es</v>
      </c>
      <c r="D196" t="str">
        <v>rcardoso@tajamar.es</v>
      </c>
      <c r="E196" t="str">
        <v>914772500</v>
      </c>
      <c r="F196" t="str">
        <v>Fútbol · RFFM</v>
      </c>
      <c r="G196" t="str">
        <v>Nuevo</v>
      </c>
      <c r="H196" t="str">
        <v/>
      </c>
      <c r="I196" t="str">
        <v/>
      </c>
      <c r="J196" t="str">
        <v>0</v>
      </c>
      <c r="K196" t="str">
        <v/>
      </c>
      <c r="L196" t="str">
        <v>Enviar Email 1</v>
      </c>
      <c r="M196" t="str">
        <v/>
      </c>
      <c r="N196" t="str">
        <v>14 equipos · Pres: ALFONSO HERNANDO GUTIERREZ</v>
      </c>
    </row>
    <row r="197">
      <c r="A197" t="str">
        <v>C.F. TRIVAL VALDERAS ALCORCON</v>
      </c>
      <c r="B197" t="str">
        <v>Alcorcón, Madrid</v>
      </c>
      <c r="C197" t="str">
        <v>https://www.trivalvalderas.com/</v>
      </c>
      <c r="D197" t="str">
        <v>info@trivalvalderas.com</v>
      </c>
      <c r="E197" t="str">
        <v>608760296</v>
      </c>
      <c r="F197" t="str">
        <v>Fútbol · RFFM</v>
      </c>
      <c r="G197" t="str">
        <v>Nuevo</v>
      </c>
      <c r="H197" t="str">
        <v/>
      </c>
      <c r="I197" t="str">
        <v/>
      </c>
      <c r="J197" t="str">
        <v>0</v>
      </c>
      <c r="K197" t="str">
        <v/>
      </c>
      <c r="L197" t="str">
        <v>Enviar Email 1</v>
      </c>
      <c r="M197" t="str">
        <v/>
      </c>
      <c r="N197" t="str">
        <v>28 equipos · Pres: ESTEBAN FERNANDEZ RUIZ (P)</v>
      </c>
    </row>
    <row r="198">
      <c r="A198" t="str">
        <v>C.D. SEVILLA LA NUEVA</v>
      </c>
      <c r="B198" t="str">
        <v>Sevilla La Nueva, Madrid</v>
      </c>
      <c r="C198" t="str">
        <v>https://cdsevillalanueva1984@gmail.com</v>
      </c>
      <c r="D198" t="str">
        <v>cdsevillalanueva1984@gmail.com</v>
      </c>
      <c r="E198" t="str">
        <v>671737887</v>
      </c>
      <c r="F198" t="str">
        <v>Fútbol · RFFM</v>
      </c>
      <c r="G198" t="str">
        <v>Nuevo</v>
      </c>
      <c r="H198" t="str">
        <v/>
      </c>
      <c r="I198" t="str">
        <v/>
      </c>
      <c r="J198" t="str">
        <v>0</v>
      </c>
      <c r="K198" t="str">
        <v/>
      </c>
      <c r="L198" t="str">
        <v>Enviar Email 1</v>
      </c>
      <c r="M198" t="str">
        <v/>
      </c>
      <c r="N198" t="str">
        <v>16 equipos · Pres: OSCAR NIETO MARTINEZ</v>
      </c>
    </row>
    <row r="199">
      <c r="A199" t="str">
        <v>A.D. UNION ADARVE</v>
      </c>
      <c r="B199" t="str">
        <v>Madrid, Madrid</v>
      </c>
      <c r="C199" t="str">
        <v>https://www.unionadarve.com</v>
      </c>
      <c r="D199" t="str">
        <v>info@unionadarve.com</v>
      </c>
      <c r="E199" t="str">
        <v>610579843</v>
      </c>
      <c r="F199" t="str">
        <v>Fútbol · RFFM</v>
      </c>
      <c r="G199" t="str">
        <v>Nuevo</v>
      </c>
      <c r="H199" t="str">
        <v/>
      </c>
      <c r="I199" t="str">
        <v/>
      </c>
      <c r="J199" t="str">
        <v>0</v>
      </c>
      <c r="K199" t="str">
        <v/>
      </c>
      <c r="L199" t="str">
        <v>Enviar Email 1</v>
      </c>
      <c r="M199" t="str">
        <v/>
      </c>
      <c r="N199" t="str">
        <v>46 equipos · Pres: VICTOR SALAMANCA CUEVAS · IG:@adunionadarve</v>
      </c>
    </row>
    <row r="200">
      <c r="A200" t="str">
        <v>ESC. MUN. FUT. VILLAREJO</v>
      </c>
      <c r="B200" t="str">
        <v>Villarejo De Salvanés, Madrid</v>
      </c>
      <c r="C200" t="str">
        <v>http://www.emfvillarejo.es</v>
      </c>
      <c r="D200" t="str">
        <v>info@emfvillarejo.es</v>
      </c>
      <c r="E200" t="str">
        <v>606131027</v>
      </c>
      <c r="F200" t="str">
        <v>Fútbol · RFFM</v>
      </c>
      <c r="G200" t="str">
        <v>Nuevo</v>
      </c>
      <c r="H200" t="str">
        <v/>
      </c>
      <c r="I200" t="str">
        <v/>
      </c>
      <c r="J200" t="str">
        <v>0</v>
      </c>
      <c r="K200" t="str">
        <v/>
      </c>
      <c r="L200" t="str">
        <v>Enviar Email 1</v>
      </c>
      <c r="M200" t="str">
        <v/>
      </c>
      <c r="N200" t="str">
        <v>10 equipos · Pres: VIDAL LOPEZ ANTIZAR</v>
      </c>
    </row>
    <row r="201">
      <c r="A201" t="str">
        <v>ESC.MUN.FUT. PVO. ALUCHE</v>
      </c>
      <c r="B201" t="str">
        <v>Madrid, Madrid</v>
      </c>
      <c r="C201" t="str">
        <v>https://www.escuelafutbolaluche.es</v>
      </c>
      <c r="D201" t="str">
        <v>escuelafutbolaluche@hotmail.com</v>
      </c>
      <c r="E201" t="str">
        <v>verificar</v>
      </c>
      <c r="F201" t="str">
        <v>Fútbol · RFFM</v>
      </c>
      <c r="G201" t="str">
        <v>Nuevo</v>
      </c>
      <c r="H201" t="str">
        <v/>
      </c>
      <c r="I201" t="str">
        <v/>
      </c>
      <c r="J201" t="str">
        <v>0</v>
      </c>
      <c r="K201" t="str">
        <v/>
      </c>
      <c r="L201" t="str">
        <v>Enviar Email 1</v>
      </c>
      <c r="M201" t="str">
        <v/>
      </c>
      <c r="N201" t="str">
        <v>24 equipos · Pres: JOSE FRANCISCO CASCALES NUÑEZ</v>
      </c>
    </row>
    <row r="202">
      <c r="A202" t="str">
        <v>ESCUELA FUTBOL VILLAVERDE</v>
      </c>
      <c r="B202" t="str">
        <v>Madrid, Madrid</v>
      </c>
      <c r="C202" t="str">
        <v>https://efvillaverde.com</v>
      </c>
      <c r="D202" t="str">
        <v>funde_vi@hotmail.com</v>
      </c>
      <c r="E202" t="str">
        <v>917983442</v>
      </c>
      <c r="F202" t="str">
        <v>Fútbol · RFFM</v>
      </c>
      <c r="G202" t="str">
        <v>Nuevo</v>
      </c>
      <c r="H202" t="str">
        <v/>
      </c>
      <c r="I202" t="str">
        <v/>
      </c>
      <c r="J202" t="str">
        <v>0</v>
      </c>
      <c r="K202" t="str">
        <v/>
      </c>
      <c r="L202" t="str">
        <v>Enviar Email 1</v>
      </c>
      <c r="M202" t="str">
        <v/>
      </c>
      <c r="N202" t="str">
        <v>1 equipos · Pres: ROSA DE LIMA HERNANDEZ CABEZA</v>
      </c>
    </row>
    <row r="203">
      <c r="A203" t="str">
        <v>A.D. ILLESCAS</v>
      </c>
      <c r="B203" t="str">
        <v>Casarrubuelos, Madrid</v>
      </c>
      <c r="C203" t="str">
        <v>https://www.adillescas.es</v>
      </c>
      <c r="D203" t="str">
        <v>adillescas@gmail.com</v>
      </c>
      <c r="E203" t="str">
        <v>925526546</v>
      </c>
      <c r="F203" t="str">
        <v>Fútbol · RFFM</v>
      </c>
      <c r="G203" t="str">
        <v>Nuevo</v>
      </c>
      <c r="H203" t="str">
        <v/>
      </c>
      <c r="I203" t="str">
        <v/>
      </c>
      <c r="J203" t="str">
        <v>0</v>
      </c>
      <c r="K203" t="str">
        <v/>
      </c>
      <c r="L203" t="str">
        <v>Enviar Email 1</v>
      </c>
      <c r="M203" t="str">
        <v/>
      </c>
      <c r="N203" t="str">
        <v>32 equipos · Pres: JORGE CAMBELO MADRIGAL</v>
      </c>
    </row>
    <row r="204">
      <c r="A204" t="str">
        <v>ESCUELA DE FUTBOL RIVAS VACIAMADRID</v>
      </c>
      <c r="B204" t="str">
        <v>Rivas-Vaciamadrid, Madrid</v>
      </c>
      <c r="C204" t="str">
        <v>https://www.efrv.es</v>
      </c>
      <c r="D204" t="str">
        <v>efrv1993@gmail.com</v>
      </c>
      <c r="E204" t="str">
        <v>917652241</v>
      </c>
      <c r="F204" t="str">
        <v>Fútbol · RFFM</v>
      </c>
      <c r="G204" t="str">
        <v>Nuevo</v>
      </c>
      <c r="H204" t="str">
        <v/>
      </c>
      <c r="I204" t="str">
        <v/>
      </c>
      <c r="J204" t="str">
        <v>0</v>
      </c>
      <c r="K204" t="str">
        <v/>
      </c>
      <c r="L204" t="str">
        <v>Enviar Email 1</v>
      </c>
      <c r="M204" t="str">
        <v/>
      </c>
      <c r="N204" t="str">
        <v>17 equipos · Pres: JOSE ALVAREZ CARRIZOSA</v>
      </c>
    </row>
    <row r="205">
      <c r="A205" t="str">
        <v>AGRUPACION DEPORTE ESCOLAR POPULAR (ADEPO)</v>
      </c>
      <c r="B205" t="str">
        <v>Madrid, Madrid</v>
      </c>
      <c r="C205" t="str">
        <v>https://www.adepopalomeras.com</v>
      </c>
      <c r="D205" t="str">
        <v>directiva@adepopalomeras.com</v>
      </c>
      <c r="E205" t="str">
        <v>649956688</v>
      </c>
      <c r="F205" t="str">
        <v>Fútbol · RFFM</v>
      </c>
      <c r="G205" t="str">
        <v>Nuevo</v>
      </c>
      <c r="H205" t="str">
        <v/>
      </c>
      <c r="I205" t="str">
        <v/>
      </c>
      <c r="J205" t="str">
        <v>0</v>
      </c>
      <c r="K205" t="str">
        <v/>
      </c>
      <c r="L205" t="str">
        <v>Enviar Email 1</v>
      </c>
      <c r="M205" t="str">
        <v/>
      </c>
      <c r="N205" t="str">
        <v>23 equipos · Pres: JOSE ANTONIO MARTIN GARCIA</v>
      </c>
    </row>
    <row r="206">
      <c r="A206" t="str">
        <v>LOS SANTOS DE LA HUMOSA C.F.</v>
      </c>
      <c r="B206" t="str">
        <v>Santos De La Humosa (Los), Madrid</v>
      </c>
      <c r="C206" t="str">
        <v>http://www.clublossantos.es</v>
      </c>
      <c r="D206" t="str">
        <v>info@clublossantos.es</v>
      </c>
      <c r="E206" t="str">
        <v>633513949</v>
      </c>
      <c r="F206" t="str">
        <v>Fútbol · RFFM</v>
      </c>
      <c r="G206" t="str">
        <v>Nuevo</v>
      </c>
      <c r="H206" t="str">
        <v/>
      </c>
      <c r="I206" t="str">
        <v/>
      </c>
      <c r="J206" t="str">
        <v>0</v>
      </c>
      <c r="K206" t="str">
        <v/>
      </c>
      <c r="L206" t="str">
        <v>Enviar Email 1</v>
      </c>
      <c r="M206" t="str">
        <v/>
      </c>
      <c r="N206" t="str">
        <v>11 equipos · Pres: ROBERTO ALFAYA FABREGA · FB:https://www.facebook.com/share/1SeCErTqus/ · IG:@lossantosdelahumosacf</v>
      </c>
    </row>
    <row r="207">
      <c r="A207" t="str">
        <v>C.P. SANTA MARIA DEL PILAR</v>
      </c>
      <c r="B207" t="str">
        <v>Madrid, Madrid</v>
      </c>
      <c r="C207" t="str">
        <v>https://www.santamariadelpilar.org</v>
      </c>
      <c r="D207" t="str">
        <v>clubdeportivo@santamariadelpilar.es</v>
      </c>
      <c r="E207" t="str">
        <v>915740796</v>
      </c>
      <c r="F207" t="str">
        <v>Fútbol · RFFM</v>
      </c>
      <c r="G207" t="str">
        <v>Nuevo</v>
      </c>
      <c r="H207" t="str">
        <v/>
      </c>
      <c r="I207" t="str">
        <v/>
      </c>
      <c r="J207" t="str">
        <v>0</v>
      </c>
      <c r="K207" t="str">
        <v/>
      </c>
      <c r="L207" t="str">
        <v>Enviar Email 1</v>
      </c>
      <c r="M207" t="str">
        <v/>
      </c>
      <c r="N207" t="str">
        <v>12 equipos · Pres: LEONCIO MANUEL FERNANDEZ BERNARDO</v>
      </c>
    </row>
    <row r="208">
      <c r="A208" t="str">
        <v>C.D. ARROYO</v>
      </c>
      <c r="B208" t="str">
        <v>Fuenlabrada, Madrid</v>
      </c>
      <c r="C208" t="str">
        <v>https://www.cdarroyo.com</v>
      </c>
      <c r="D208" t="str">
        <v>cdarroyo@cdarroyo.com</v>
      </c>
      <c r="E208" t="str">
        <v>648056926</v>
      </c>
      <c r="F208" t="str">
        <v>Fútbol · RFFM</v>
      </c>
      <c r="G208" t="str">
        <v>Nuevo</v>
      </c>
      <c r="H208" t="str">
        <v/>
      </c>
      <c r="I208" t="str">
        <v/>
      </c>
      <c r="J208" t="str">
        <v>0</v>
      </c>
      <c r="K208" t="str">
        <v/>
      </c>
      <c r="L208" t="str">
        <v>Enviar Email 1</v>
      </c>
      <c r="M208" t="str">
        <v/>
      </c>
      <c r="N208" t="str">
        <v>11 equipos · Pres: MIGUEL GONZALEZ FERNANDEZ · FB:https://www.facebook.com/cdarroyo</v>
      </c>
    </row>
    <row r="209">
      <c r="A209" t="str">
        <v>A.D. SPORTING BAZAN</v>
      </c>
      <c r="B209" t="str">
        <v>Leganés, Madrid</v>
      </c>
      <c r="C209" t="str">
        <v>https://www.sportingbazan.es</v>
      </c>
      <c r="D209" t="str">
        <v>sporting.bazan@gmail.com</v>
      </c>
      <c r="E209" t="str">
        <v>916875821</v>
      </c>
      <c r="F209" t="str">
        <v>Fútbol · RFFM</v>
      </c>
      <c r="G209" t="str">
        <v>Nuevo</v>
      </c>
      <c r="H209" t="str">
        <v/>
      </c>
      <c r="I209" t="str">
        <v/>
      </c>
      <c r="J209" t="str">
        <v>0</v>
      </c>
      <c r="K209" t="str">
        <v/>
      </c>
      <c r="L209" t="str">
        <v>Enviar Email 1</v>
      </c>
      <c r="M209" t="str">
        <v/>
      </c>
      <c r="N209" t="str">
        <v>1 equipos · Pres: ANGEL DE ANDRES GARCIA</v>
      </c>
    </row>
    <row r="210">
      <c r="A210" t="str">
        <v>A.D. ROCIO LEGANES</v>
      </c>
      <c r="B210" t="str">
        <v>Leganés, Madrid</v>
      </c>
      <c r="C210" t="str">
        <v>verificar</v>
      </c>
      <c r="D210" t="str">
        <v>clubrocioleganes@gmail.com</v>
      </c>
      <c r="E210" t="str">
        <v>638180010</v>
      </c>
      <c r="F210" t="str">
        <v>Fútbol · RFFM</v>
      </c>
      <c r="G210" t="str">
        <v>Nuevo</v>
      </c>
      <c r="H210" t="str">
        <v/>
      </c>
      <c r="I210" t="str">
        <v/>
      </c>
      <c r="J210" t="str">
        <v>0</v>
      </c>
      <c r="K210" t="str">
        <v/>
      </c>
      <c r="L210" t="str">
        <v>Enviar Email 1</v>
      </c>
      <c r="M210" t="str">
        <v/>
      </c>
      <c r="N210" t="str">
        <v>14 equipos · Pres: MARIA DEL PILAR RODRIGUEZ RODRIGUEZ</v>
      </c>
    </row>
    <row r="211">
      <c r="A211" t="str">
        <v>C.D. GUADALIX DE LA SIERRA</v>
      </c>
      <c r="B211" t="str">
        <v>Guadalix De La Sierra, Madrid</v>
      </c>
      <c r="C211" t="str">
        <v>verificar</v>
      </c>
      <c r="D211" t="str">
        <v>guadalixcf@gmail.com</v>
      </c>
      <c r="E211" t="str">
        <v>659157048</v>
      </c>
      <c r="F211" t="str">
        <v>Fútbol · RFFM</v>
      </c>
      <c r="G211" t="str">
        <v>Nuevo</v>
      </c>
      <c r="H211" t="str">
        <v/>
      </c>
      <c r="I211" t="str">
        <v/>
      </c>
      <c r="J211" t="str">
        <v>0</v>
      </c>
      <c r="K211" t="str">
        <v/>
      </c>
      <c r="L211" t="str">
        <v>Enviar Email 1</v>
      </c>
      <c r="M211" t="str">
        <v/>
      </c>
      <c r="N211" t="str">
        <v>16 equipos · Pres: DANIEL PEÑAS FERNANDEZ</v>
      </c>
    </row>
    <row r="212">
      <c r="A212" t="str">
        <v>E.F.M.O. BOADILLA</v>
      </c>
      <c r="B212" t="str">
        <v>Boadilla Del Monte, Madrid</v>
      </c>
      <c r="C212" t="str">
        <v>https://efmadridoesteboadilla.ffmadrid.org</v>
      </c>
      <c r="D212" t="str">
        <v>efmadridoesteboadilla@hotmail.com</v>
      </c>
      <c r="E212" t="str">
        <v>916321984</v>
      </c>
      <c r="F212" t="str">
        <v>Fútbol · RFFM</v>
      </c>
      <c r="G212" t="str">
        <v>Nuevo</v>
      </c>
      <c r="H212" t="str">
        <v/>
      </c>
      <c r="I212" t="str">
        <v/>
      </c>
      <c r="J212" t="str">
        <v>0</v>
      </c>
      <c r="K212" t="str">
        <v/>
      </c>
      <c r="L212" t="str">
        <v>Enviar Email 1</v>
      </c>
      <c r="M212" t="str">
        <v/>
      </c>
      <c r="N212" t="str">
        <v>43 equipos · Pres: IGNACIO GONZALEZ AYUSO</v>
      </c>
    </row>
    <row r="213">
      <c r="A213" t="str">
        <v>A.D. COSMOS HURACAN</v>
      </c>
      <c r="B213" t="str">
        <v>Madrid, Madrid</v>
      </c>
      <c r="C213" t="str">
        <v>https://www.adcosmoshuracan.com</v>
      </c>
      <c r="D213" t="str">
        <v>adcosmoshuracan@hotmail.com</v>
      </c>
      <c r="E213" t="str">
        <v>644622566</v>
      </c>
      <c r="F213" t="str">
        <v>Fútbol · RFFM</v>
      </c>
      <c r="G213" t="str">
        <v>Nuevo</v>
      </c>
      <c r="H213" t="str">
        <v/>
      </c>
      <c r="I213" t="str">
        <v/>
      </c>
      <c r="J213" t="str">
        <v>0</v>
      </c>
      <c r="K213" t="str">
        <v/>
      </c>
      <c r="L213" t="str">
        <v>Enviar Email 1</v>
      </c>
      <c r="M213" t="str">
        <v/>
      </c>
      <c r="N213" t="str">
        <v>1 equipos · Pres: MANUEL GONZALEZ VICENTE · FB:www.facebook.com/adcosmoshuracan · IG:www.instagram.com/adcosmoshuracan_oficial/</v>
      </c>
    </row>
    <row r="214">
      <c r="A214" t="str">
        <v>E.D.M. SAN BLAS</v>
      </c>
      <c r="B214" t="str">
        <v>Madrid, Madrid</v>
      </c>
      <c r="C214" t="str">
        <v>https://www.edmsanblas.es</v>
      </c>
      <c r="D214" t="str">
        <v>edm@edmsanblas.es</v>
      </c>
      <c r="E214" t="str">
        <v>913135266</v>
      </c>
      <c r="F214" t="str">
        <v>Fútbol · RFFM</v>
      </c>
      <c r="G214" t="str">
        <v>Nuevo</v>
      </c>
      <c r="H214" t="str">
        <v/>
      </c>
      <c r="I214" t="str">
        <v/>
      </c>
      <c r="J214" t="str">
        <v>0</v>
      </c>
      <c r="K214" t="str">
        <v/>
      </c>
      <c r="L214" t="str">
        <v>Enviar Email 1</v>
      </c>
      <c r="M214" t="str">
        <v/>
      </c>
      <c r="N214" t="str">
        <v>34 equipos · Pres: JESUS GUTIERREZ CORREDOR · IG:https://instagram.com/edmsanblas_oficial?igshid=OGQ5ZDc2ODk2ZA==</v>
      </c>
    </row>
    <row r="215">
      <c r="A215" t="str">
        <v>CLUB POLID. PARLA ESCUELA</v>
      </c>
      <c r="B215" t="str">
        <v>Parla, Madrid</v>
      </c>
      <c r="C215" t="str">
        <v>https://www.parlaescuela.es</v>
      </c>
      <c r="D215" t="str">
        <v>club@parlaescuela.es</v>
      </c>
      <c r="E215" t="str">
        <v>916053843</v>
      </c>
      <c r="F215" t="str">
        <v>Fútbol · RFFM</v>
      </c>
      <c r="G215" t="str">
        <v>Nuevo</v>
      </c>
      <c r="H215" t="str">
        <v/>
      </c>
      <c r="I215" t="str">
        <v/>
      </c>
      <c r="J215" t="str">
        <v>0</v>
      </c>
      <c r="K215" t="str">
        <v/>
      </c>
      <c r="L215" t="str">
        <v>Enviar Email 1</v>
      </c>
      <c r="M215" t="str">
        <v/>
      </c>
      <c r="N215" t="str">
        <v>62 equipos · Pres: ISMAEL MARTINEZ RODRIGUEZ · FB:https://www.facebook.com/ParlaEscuelaFairPlay · IG:https://www.instagram.com/parlaescuelaf</v>
      </c>
    </row>
    <row r="216">
      <c r="A216" t="str">
        <v>C. ATLETICO CONCILIO</v>
      </c>
      <c r="B216" t="str">
        <v>Alcobendas, Madrid</v>
      </c>
      <c r="C216" t="str">
        <v>https://Www.adAtleticoconcilio.es</v>
      </c>
      <c r="D216" t="str">
        <v>adminconcilio@adatleticoconcilio.es</v>
      </c>
      <c r="E216" t="str">
        <v>629387346</v>
      </c>
      <c r="F216" t="str">
        <v>Fútbol · RFFM</v>
      </c>
      <c r="G216" t="str">
        <v>Nuevo</v>
      </c>
      <c r="H216" t="str">
        <v/>
      </c>
      <c r="I216" t="str">
        <v/>
      </c>
      <c r="J216" t="str">
        <v>0</v>
      </c>
      <c r="K216" t="str">
        <v/>
      </c>
      <c r="L216" t="str">
        <v>Enviar Email 1</v>
      </c>
      <c r="M216" t="str">
        <v/>
      </c>
      <c r="N216" t="str">
        <v>13 equipos · Pres: IVAN TORRES FERMIN</v>
      </c>
    </row>
    <row r="217">
      <c r="A217" t="str">
        <v>CANTERA F.C.</v>
      </c>
      <c r="B217" t="str">
        <v>Madrid, Madrid</v>
      </c>
      <c r="C217" t="str">
        <v>https://canterafc.ffmadrid.org</v>
      </c>
      <c r="D217" t="str">
        <v>josemariacerezo@canterafc.es</v>
      </c>
      <c r="E217" t="str">
        <v>917181568</v>
      </c>
      <c r="F217" t="str">
        <v>Fútbol · RFFM</v>
      </c>
      <c r="G217" t="str">
        <v>Nuevo</v>
      </c>
      <c r="H217" t="str">
        <v/>
      </c>
      <c r="I217" t="str">
        <v/>
      </c>
      <c r="J217" t="str">
        <v>0</v>
      </c>
      <c r="K217" t="str">
        <v/>
      </c>
      <c r="L217" t="str">
        <v>Enviar Email 1</v>
      </c>
      <c r="M217" t="str">
        <v/>
      </c>
      <c r="N217" t="str">
        <v>12 equipos · Pres: JOSE MARIA CEREZO GARCIA</v>
      </c>
    </row>
    <row r="218">
      <c r="A218" t="str">
        <v>C.D. VILLANUEVA DE LA CAÑADA</v>
      </c>
      <c r="B218" t="str">
        <v>Villanueva De La Cañada, Madrid</v>
      </c>
      <c r="C218" t="str">
        <v>https://www.cdvillanuevadelacanada.com/</v>
      </c>
      <c r="D218" t="str">
        <v>info@cdvillanuevadelacanada.com</v>
      </c>
      <c r="E218" t="str">
        <v>656964272</v>
      </c>
      <c r="F218" t="str">
        <v>Fútbol · RFFM</v>
      </c>
      <c r="G218" t="str">
        <v>Nuevo</v>
      </c>
      <c r="H218" t="str">
        <v/>
      </c>
      <c r="I218" t="str">
        <v/>
      </c>
      <c r="J218" t="str">
        <v>0</v>
      </c>
      <c r="K218" t="str">
        <v/>
      </c>
      <c r="L218" t="str">
        <v>Enviar Email 1</v>
      </c>
      <c r="M218" t="str">
        <v/>
      </c>
      <c r="N218" t="str">
        <v>27 equipos · Pres: MATTHIEU ARVISET · FB:https://www.facebook.com/CD-Villanueva-de-la-Ca%C3%B1ada-2546359168738517 · IG:https://www.instagra</v>
      </c>
    </row>
    <row r="219">
      <c r="A219" t="str">
        <v>A.D. VILLAVERDE BAJO</v>
      </c>
      <c r="B219" t="str">
        <v>Madrid, Madrid</v>
      </c>
      <c r="C219" t="str">
        <v>https://advillaverdebajo.com</v>
      </c>
      <c r="D219" t="str">
        <v>juntaadvillaverdebajo@gmail.com</v>
      </c>
      <c r="E219" t="str">
        <v>682076544</v>
      </c>
      <c r="F219" t="str">
        <v>Fútbol · RFFM</v>
      </c>
      <c r="G219" t="str">
        <v>Nuevo</v>
      </c>
      <c r="H219" t="str">
        <v/>
      </c>
      <c r="I219" t="str">
        <v/>
      </c>
      <c r="J219" t="str">
        <v>0</v>
      </c>
      <c r="K219" t="str">
        <v/>
      </c>
      <c r="L219" t="str">
        <v>Enviar Email 1</v>
      </c>
      <c r="M219" t="str">
        <v/>
      </c>
      <c r="N219" t="str">
        <v>25 equipos · Pres: ALFONSO SALAS RAMIREZ</v>
      </c>
    </row>
    <row r="220">
      <c r="A220" t="str">
        <v>A.D. NUEVO VERSALLES-LORANCA</v>
      </c>
      <c r="B220" t="str">
        <v>Fuenlabrada, Madrid</v>
      </c>
      <c r="C220" t="str">
        <v>https://www.adnuevoversalles-loranca.es</v>
      </c>
      <c r="D220" t="str">
        <v>info@adnversalles-loranca.es</v>
      </c>
      <c r="E220" t="str">
        <v>620193434</v>
      </c>
      <c r="F220" t="str">
        <v>Fútbol · RFFM</v>
      </c>
      <c r="G220" t="str">
        <v>Nuevo</v>
      </c>
      <c r="H220" t="str">
        <v/>
      </c>
      <c r="I220" t="str">
        <v/>
      </c>
      <c r="J220" t="str">
        <v>0</v>
      </c>
      <c r="K220" t="str">
        <v/>
      </c>
      <c r="L220" t="str">
        <v>Enviar Email 1</v>
      </c>
      <c r="M220" t="str">
        <v/>
      </c>
      <c r="N220" t="str">
        <v>33 equipos · Pres: ANGEL ANDRES SANTURDE HERAS</v>
      </c>
    </row>
    <row r="221">
      <c r="A221" t="str">
        <v>C.D. ORUSCO</v>
      </c>
      <c r="B221" t="str">
        <v>Orusco De Tajuña, Madrid</v>
      </c>
      <c r="C221" t="str">
        <v>verificar</v>
      </c>
      <c r="D221" t="str">
        <v>juliansanandresmanzano@gmail.com</v>
      </c>
      <c r="E221" t="str">
        <v>699021966</v>
      </c>
      <c r="F221" t="str">
        <v>Fútbol · RFFM</v>
      </c>
      <c r="G221" t="str">
        <v>Nuevo</v>
      </c>
      <c r="H221" t="str">
        <v/>
      </c>
      <c r="I221" t="str">
        <v/>
      </c>
      <c r="J221" t="str">
        <v>0</v>
      </c>
      <c r="K221" t="str">
        <v/>
      </c>
      <c r="L221" t="str">
        <v>Enviar Email 1</v>
      </c>
      <c r="M221" t="str">
        <v/>
      </c>
      <c r="N221" t="str">
        <v>1 equipos · Pres: JULIAN SAN ANDRES MANZANO</v>
      </c>
    </row>
    <row r="222">
      <c r="A222" t="str">
        <v>C.F. POZUELO DE ALARCON</v>
      </c>
      <c r="B222" t="str">
        <v>Pozuelo De Alarcón, Madrid</v>
      </c>
      <c r="C222" t="str">
        <v>https://www.cfpozuelo.com</v>
      </c>
      <c r="D222" t="str">
        <v>info@cfpozuelo.com</v>
      </c>
      <c r="E222" t="str">
        <v>637510415</v>
      </c>
      <c r="F222" t="str">
        <v>Fútbol · RFFM</v>
      </c>
      <c r="G222" t="str">
        <v>Nuevo</v>
      </c>
      <c r="H222" t="str">
        <v/>
      </c>
      <c r="I222" t="str">
        <v/>
      </c>
      <c r="J222" t="str">
        <v>0</v>
      </c>
      <c r="K222" t="str">
        <v/>
      </c>
      <c r="L222" t="str">
        <v>Enviar Email 1</v>
      </c>
      <c r="M222" t="str">
        <v/>
      </c>
      <c r="N222" t="str">
        <v>47 equipos · Pres: ISAAC CARDOSO PLAZA</v>
      </c>
    </row>
    <row r="223">
      <c r="A223" t="str">
        <v>A.D.C. BRUNETE</v>
      </c>
      <c r="B223" t="str">
        <v>Getafe, Madrid</v>
      </c>
      <c r="C223" t="str">
        <v>https://www.adcbrunete.es</v>
      </c>
      <c r="D223" t="str">
        <v>adcbrunete@gmail.com</v>
      </c>
      <c r="E223" t="str">
        <v>606666000</v>
      </c>
      <c r="F223" t="str">
        <v>Fútbol · RFFM</v>
      </c>
      <c r="G223" t="str">
        <v>Nuevo</v>
      </c>
      <c r="H223" t="str">
        <v/>
      </c>
      <c r="I223" t="str">
        <v/>
      </c>
      <c r="J223" t="str">
        <v>0</v>
      </c>
      <c r="K223" t="str">
        <v/>
      </c>
      <c r="L223" t="str">
        <v>Enviar Email 1</v>
      </c>
      <c r="M223" t="str">
        <v/>
      </c>
      <c r="N223" t="str">
        <v>26 equipos · Pres: JOSE VICENTE ROMAN ORGAZ</v>
      </c>
    </row>
    <row r="224">
      <c r="A224" t="str">
        <v>C.F. FUENTE EL SAZ</v>
      </c>
      <c r="B224" t="str">
        <v>Fuente El Saz De Jarama, Madrid</v>
      </c>
      <c r="C224" t="str">
        <v>https://www.cffsaz.es</v>
      </c>
      <c r="D224" t="str">
        <v>secretario@cffsaz.es</v>
      </c>
      <c r="E224" t="str">
        <v>627520363</v>
      </c>
      <c r="F224" t="str">
        <v>Fútbol · RFFM</v>
      </c>
      <c r="G224" t="str">
        <v>Nuevo</v>
      </c>
      <c r="H224" t="str">
        <v/>
      </c>
      <c r="I224" t="str">
        <v/>
      </c>
      <c r="J224" t="str">
        <v>0</v>
      </c>
      <c r="K224" t="str">
        <v/>
      </c>
      <c r="L224" t="str">
        <v>Enviar Email 1</v>
      </c>
      <c r="M224" t="str">
        <v/>
      </c>
      <c r="N224" t="str">
        <v>14 equipos · Pres: RAIMUNDO SANCHEZ SANCHEZ</v>
      </c>
    </row>
    <row r="225">
      <c r="A225" t="str">
        <v xml:space="preserve">ESCUELA DE FUTBOL SAN MARTIN DE LA VEGA </v>
      </c>
      <c r="B225" t="str">
        <v>San Martín De La Vega, Madrid</v>
      </c>
      <c r="C225" t="str">
        <v>verificar</v>
      </c>
      <c r="D225" t="str">
        <v>tesoreriasanmartinef@gmail.com</v>
      </c>
      <c r="E225" t="str">
        <v>605961814</v>
      </c>
      <c r="F225" t="str">
        <v>Fútbol · RFFM</v>
      </c>
      <c r="G225" t="str">
        <v>Nuevo</v>
      </c>
      <c r="H225" t="str">
        <v/>
      </c>
      <c r="I225" t="str">
        <v/>
      </c>
      <c r="J225" t="str">
        <v>0</v>
      </c>
      <c r="K225" t="str">
        <v/>
      </c>
      <c r="L225" t="str">
        <v>Enviar Email 1</v>
      </c>
      <c r="M225" t="str">
        <v/>
      </c>
      <c r="N225" t="str">
        <v>17 equipos · Pres: JULIAN GOMEZ MANZANO · FB:@efsanmartindelavega.delavega · IG:ef.sanmartindelavega</v>
      </c>
    </row>
    <row r="226">
      <c r="A226" t="str">
        <v>C.F. ALALPARDO</v>
      </c>
      <c r="B226" t="str">
        <v>Valdeolmos-Alalpardo, Madrid</v>
      </c>
      <c r="C226" t="str">
        <v>https://www.cfalalpardo.com</v>
      </c>
      <c r="D226" t="str">
        <v>frutas.iglesias@yahoo.es</v>
      </c>
      <c r="E226" t="str">
        <v>658778105</v>
      </c>
      <c r="F226" t="str">
        <v>Fútbol · RFFM</v>
      </c>
      <c r="G226" t="str">
        <v>Nuevo</v>
      </c>
      <c r="H226" t="str">
        <v/>
      </c>
      <c r="I226" t="str">
        <v/>
      </c>
      <c r="J226" t="str">
        <v>0</v>
      </c>
      <c r="K226" t="str">
        <v/>
      </c>
      <c r="L226" t="str">
        <v>Enviar Email 1</v>
      </c>
      <c r="M226" t="str">
        <v/>
      </c>
      <c r="N226" t="str">
        <v>25 equipos · Pres: JAVIER IGLESIAS PAJE</v>
      </c>
    </row>
    <row r="227">
      <c r="A227" t="str">
        <v>ESC.DEP.DE FUTBOL DE TORRES</v>
      </c>
      <c r="B227" t="str">
        <v>Torres De La Alameda, Madrid</v>
      </c>
      <c r="C227" t="str">
        <v>verificar</v>
      </c>
      <c r="D227" t="str">
        <v>escuelafutboltorres@gmail.com</v>
      </c>
      <c r="E227" t="str">
        <v>686705678</v>
      </c>
      <c r="F227" t="str">
        <v>Fútbol · RFFM</v>
      </c>
      <c r="G227" t="str">
        <v>Nuevo</v>
      </c>
      <c r="H227" t="str">
        <v/>
      </c>
      <c r="I227" t="str">
        <v/>
      </c>
      <c r="J227" t="str">
        <v>0</v>
      </c>
      <c r="K227" t="str">
        <v/>
      </c>
      <c r="L227" t="str">
        <v>Enviar Email 1</v>
      </c>
      <c r="M227" t="str">
        <v/>
      </c>
      <c r="N227" t="str">
        <v>9 equipos · Pres: DIEGO ZURITA SAEZ</v>
      </c>
    </row>
    <row r="228">
      <c r="A228" t="str">
        <v>SAN PEDRO DE HUMANES</v>
      </c>
      <c r="B228" t="str">
        <v>Humanes De Madrid, Madrid</v>
      </c>
      <c r="C228" t="str">
        <v>https://cdsanpedro.es</v>
      </c>
      <c r="D228" t="str">
        <v>comunicacion_sanpedro@hotmail.com</v>
      </c>
      <c r="E228" t="str">
        <v>918371104</v>
      </c>
      <c r="F228" t="str">
        <v>Fútbol · RFFM</v>
      </c>
      <c r="G228" t="str">
        <v>Nuevo</v>
      </c>
      <c r="H228" t="str">
        <v/>
      </c>
      <c r="I228" t="str">
        <v/>
      </c>
      <c r="J228" t="str">
        <v>0</v>
      </c>
      <c r="K228" t="str">
        <v/>
      </c>
      <c r="L228" t="str">
        <v>Enviar Email 1</v>
      </c>
      <c r="M228" t="str">
        <v/>
      </c>
      <c r="N228" t="str">
        <v>10 equipos · Pres: MANUEL ROBERTO ALVAREZ LOPEZ</v>
      </c>
    </row>
    <row r="229">
      <c r="A229" t="str">
        <v>A.D. EL NORTE</v>
      </c>
      <c r="B229" t="str">
        <v>Getafe, Madrid</v>
      </c>
      <c r="C229" t="str">
        <v>https://adelnorte.com</v>
      </c>
      <c r="D229" t="str">
        <v>agrupaciondeportivaelnorte@gmail.com</v>
      </c>
      <c r="E229" t="str">
        <v>647931054</v>
      </c>
      <c r="F229" t="str">
        <v>Fútbol · RFFM</v>
      </c>
      <c r="G229" t="str">
        <v>Nuevo</v>
      </c>
      <c r="H229" t="str">
        <v/>
      </c>
      <c r="I229" t="str">
        <v/>
      </c>
      <c r="J229" t="str">
        <v>0</v>
      </c>
      <c r="K229" t="str">
        <v/>
      </c>
      <c r="L229" t="str">
        <v>Enviar Email 1</v>
      </c>
      <c r="M229" t="str">
        <v/>
      </c>
      <c r="N229" t="str">
        <v>20 equipos · Pres: BENITO SANCHEZ GARCIA · FB:https://facebook.com/AgrupacionDeportivaElNorte</v>
      </c>
    </row>
    <row r="230">
      <c r="A230" t="str">
        <v>ESC. FUT. EL OLIVO DE COSLADA</v>
      </c>
      <c r="B230" t="str">
        <v>Coslada, Madrid</v>
      </c>
      <c r="C230" t="str">
        <v>https://www.efelolivocoslada.com</v>
      </c>
      <c r="D230" t="str">
        <v>padilla1511@gmail.com</v>
      </c>
      <c r="E230" t="str">
        <v>681176642</v>
      </c>
      <c r="F230" t="str">
        <v>Fútbol · RFFM</v>
      </c>
      <c r="G230" t="str">
        <v>Nuevo</v>
      </c>
      <c r="H230" t="str">
        <v/>
      </c>
      <c r="I230" t="str">
        <v/>
      </c>
      <c r="J230" t="str">
        <v>0</v>
      </c>
      <c r="K230" t="str">
        <v/>
      </c>
      <c r="L230" t="str">
        <v>Enviar Email 1</v>
      </c>
      <c r="M230" t="str">
        <v/>
      </c>
      <c r="N230" t="str">
        <v>40 equipos · Pres: ANTONIO PADILLA GONZALEZ</v>
      </c>
    </row>
    <row r="231">
      <c r="A231" t="str">
        <v>C.D. NUEVAS PALOMERAS</v>
      </c>
      <c r="B231" t="str">
        <v>Madrid, Madrid</v>
      </c>
      <c r="C231" t="str">
        <v>https://cdnuevaspalomeras.ffmadrid.org</v>
      </c>
      <c r="D231" t="str">
        <v>nuevaspalomerascd@gmail.com</v>
      </c>
      <c r="E231" t="str">
        <v>695691181</v>
      </c>
      <c r="F231" t="str">
        <v>Fútbol · RFFM</v>
      </c>
      <c r="G231" t="str">
        <v>Nuevo</v>
      </c>
      <c r="H231" t="str">
        <v/>
      </c>
      <c r="I231" t="str">
        <v/>
      </c>
      <c r="J231" t="str">
        <v>0</v>
      </c>
      <c r="K231" t="str">
        <v/>
      </c>
      <c r="L231" t="str">
        <v>Enviar Email 1</v>
      </c>
      <c r="M231" t="str">
        <v/>
      </c>
      <c r="N231" t="str">
        <v>4 equipos · Pres: JOSE LUIS DOMINGUEZ MORON</v>
      </c>
    </row>
    <row r="232">
      <c r="A232" t="str">
        <v>A.D. NUEVO BAZTAN</v>
      </c>
      <c r="B232" t="str">
        <v>Nuevo Baztán, Madrid</v>
      </c>
      <c r="C232" t="str">
        <v>https://www.adnuevobaztan.com</v>
      </c>
      <c r="D232" t="str">
        <v>info.adnb@gmail.com</v>
      </c>
      <c r="E232" t="str">
        <v>629317318</v>
      </c>
      <c r="F232" t="str">
        <v>Fútbol · RFFM</v>
      </c>
      <c r="G232" t="str">
        <v>Nuevo</v>
      </c>
      <c r="H232" t="str">
        <v/>
      </c>
      <c r="I232" t="str">
        <v/>
      </c>
      <c r="J232" t="str">
        <v>0</v>
      </c>
      <c r="K232" t="str">
        <v/>
      </c>
      <c r="L232" t="str">
        <v>Enviar Email 1</v>
      </c>
      <c r="M232" t="str">
        <v/>
      </c>
      <c r="N232" t="str">
        <v>16 equipos · Pres: RAFAEL GARCIA BATRES</v>
      </c>
    </row>
    <row r="233">
      <c r="A233" t="str">
        <v>CLUB SAN JOSE DEL PARQUE</v>
      </c>
      <c r="B233" t="str">
        <v>Madrid, Madrid</v>
      </c>
      <c r="C233" t="str">
        <v>https://www.sanjosedelparque.es</v>
      </c>
      <c r="D233" t="str">
        <v>smschus75@gmail.com</v>
      </c>
      <c r="E233" t="str">
        <v>913000058</v>
      </c>
      <c r="F233" t="str">
        <v>Fútbol · RFFM</v>
      </c>
      <c r="G233" t="str">
        <v>Nuevo</v>
      </c>
      <c r="H233" t="str">
        <v/>
      </c>
      <c r="I233" t="str">
        <v/>
      </c>
      <c r="J233" t="str">
        <v>0</v>
      </c>
      <c r="K233" t="str">
        <v/>
      </c>
      <c r="L233" t="str">
        <v>Enviar Email 1</v>
      </c>
      <c r="M233" t="str">
        <v/>
      </c>
      <c r="N233" t="str">
        <v>11 equipos · Pres: ALBERTO SANZ SANZ</v>
      </c>
    </row>
    <row r="234">
      <c r="A234" t="str">
        <v>C.D.E. ACADEMIA DE FUTBOL ALCOBENDAS</v>
      </c>
      <c r="B234" t="str">
        <v>Alcobendas, Madrid</v>
      </c>
      <c r="C234" t="str">
        <v>https://www.academiafutbolalcobendas.es</v>
      </c>
      <c r="D234" t="str">
        <v>direcciondeportiva@academiafutbolalcobendas.es</v>
      </c>
      <c r="E234" t="str">
        <v>685471520</v>
      </c>
      <c r="F234" t="str">
        <v>Fútbol · RFFM</v>
      </c>
      <c r="G234" t="str">
        <v>Nuevo</v>
      </c>
      <c r="H234" t="str">
        <v/>
      </c>
      <c r="I234" t="str">
        <v/>
      </c>
      <c r="J234" t="str">
        <v>0</v>
      </c>
      <c r="K234" t="str">
        <v/>
      </c>
      <c r="L234" t="str">
        <v>Enviar Email 1</v>
      </c>
      <c r="M234" t="str">
        <v/>
      </c>
      <c r="N234" t="str">
        <v>36 equipos · Pres: ALBERTO MARTIN CASAS</v>
      </c>
    </row>
    <row r="235">
      <c r="A235" t="str">
        <v>C.D. SITIO DE ARANJUEZ</v>
      </c>
      <c r="B235" t="str">
        <v>Aranjuez, Madrid</v>
      </c>
      <c r="C235" t="str">
        <v>https://cdsitio.ffmadrid.org</v>
      </c>
      <c r="D235" t="str">
        <v>cdsitiodearanjuez@hotmail.com</v>
      </c>
      <c r="E235" t="str">
        <v>659434411</v>
      </c>
      <c r="F235" t="str">
        <v>Fútbol · RFFM</v>
      </c>
      <c r="G235" t="str">
        <v>Nuevo</v>
      </c>
      <c r="H235" t="str">
        <v/>
      </c>
      <c r="I235" t="str">
        <v/>
      </c>
      <c r="J235" t="str">
        <v>0</v>
      </c>
      <c r="K235" t="str">
        <v/>
      </c>
      <c r="L235" t="str">
        <v>Enviar Email 1</v>
      </c>
      <c r="M235" t="str">
        <v/>
      </c>
      <c r="N235" t="str">
        <v>6 equipos · Pres: ANGEL GARCIA AVILA</v>
      </c>
    </row>
    <row r="236">
      <c r="A236" t="str">
        <v xml:space="preserve">MEXICO F.C. S.A.D. </v>
      </c>
      <c r="B236" t="str">
        <v>Paracuellos De Jarama, Madrid</v>
      </c>
      <c r="C236" t="str">
        <v>https://mexicofc.com</v>
      </c>
      <c r="D236" t="str">
        <v>victor_tms@mexicofc.com</v>
      </c>
      <c r="E236" t="str">
        <v>verificar</v>
      </c>
      <c r="F236" t="str">
        <v>Fútbol · RFFM</v>
      </c>
      <c r="G236" t="str">
        <v>Nuevo</v>
      </c>
      <c r="H236" t="str">
        <v/>
      </c>
      <c r="I236" t="str">
        <v/>
      </c>
      <c r="J236" t="str">
        <v>0</v>
      </c>
      <c r="K236" t="str">
        <v/>
      </c>
      <c r="L236" t="str">
        <v>Enviar Email 1</v>
      </c>
      <c r="M236" t="str">
        <v/>
      </c>
      <c r="N236" t="str">
        <v>36 equipos · Pres: VICTOR GUSTAVO FERRAEZ GASQUE</v>
      </c>
    </row>
    <row r="237">
      <c r="A237" t="str">
        <v>C.D. BETIS SAN ISIDRO</v>
      </c>
      <c r="B237" t="str">
        <v>Madrid, Madrid</v>
      </c>
      <c r="C237" t="str">
        <v>https://bsi1931.wordpress.com/</v>
      </c>
      <c r="D237" t="str">
        <v>cdbsi1931@gmail.com</v>
      </c>
      <c r="E237" t="str">
        <v>661725414</v>
      </c>
      <c r="F237" t="str">
        <v>Fútbol · RFFM</v>
      </c>
      <c r="G237" t="str">
        <v>Nuevo</v>
      </c>
      <c r="H237" t="str">
        <v/>
      </c>
      <c r="I237" t="str">
        <v/>
      </c>
      <c r="J237" t="str">
        <v>0</v>
      </c>
      <c r="K237" t="str">
        <v/>
      </c>
      <c r="L237" t="str">
        <v>Enviar Email 1</v>
      </c>
      <c r="M237" t="str">
        <v/>
      </c>
      <c r="N237" t="str">
        <v>16 equipos · Pres: ROMAN SANZ AMOROS</v>
      </c>
    </row>
    <row r="238">
      <c r="A238" t="str">
        <v>C.D. GOYA</v>
      </c>
      <c r="B238" t="str">
        <v>Madrid, Madrid</v>
      </c>
      <c r="C238" t="str">
        <v>https://www.cdgoya.com</v>
      </c>
      <c r="D238" t="str">
        <v>secretariacdgoya@gmail.com</v>
      </c>
      <c r="E238" t="str">
        <v>914635916</v>
      </c>
      <c r="F238" t="str">
        <v>Fútbol · RFFM</v>
      </c>
      <c r="G238" t="str">
        <v>Nuevo</v>
      </c>
      <c r="H238" t="str">
        <v/>
      </c>
      <c r="I238" t="str">
        <v/>
      </c>
      <c r="J238" t="str">
        <v>0</v>
      </c>
      <c r="K238" t="str">
        <v/>
      </c>
      <c r="L238" t="str">
        <v>Enviar Email 1</v>
      </c>
      <c r="M238" t="str">
        <v/>
      </c>
      <c r="N238" t="str">
        <v>21 equipos · Pres: JOSE LUIS SANCHEZ GAGO · FB:https://www.facebook.com/cdgoya · IG:https://www.instagram.com/cdgoya/</v>
      </c>
    </row>
    <row r="239">
      <c r="A239" t="str">
        <v xml:space="preserve">ESCUELA FUTBOL CIUDAD DE GETAFE </v>
      </c>
      <c r="B239" t="str">
        <v>Getafe, Madrid</v>
      </c>
      <c r="C239" t="str">
        <v>https://www.efciudaddegetafe.com</v>
      </c>
      <c r="D239" t="str">
        <v>info@efciudaddegetafe.com</v>
      </c>
      <c r="E239" t="str">
        <v>660864767</v>
      </c>
      <c r="F239" t="str">
        <v>Fútbol · RFFM</v>
      </c>
      <c r="G239" t="str">
        <v>Nuevo</v>
      </c>
      <c r="H239" t="str">
        <v/>
      </c>
      <c r="I239" t="str">
        <v/>
      </c>
      <c r="J239" t="str">
        <v>0</v>
      </c>
      <c r="K239" t="str">
        <v/>
      </c>
      <c r="L239" t="str">
        <v>Enviar Email 1</v>
      </c>
      <c r="M239" t="str">
        <v/>
      </c>
      <c r="N239" t="str">
        <v>54 equipos · Pres: GUILLERMO TRAMA</v>
      </c>
    </row>
    <row r="240">
      <c r="A240" t="str">
        <v>C.D. FUTBOL TRES CANTOS</v>
      </c>
      <c r="B240" t="str">
        <v>Tres Cantos, Madrid</v>
      </c>
      <c r="C240" t="str">
        <v>https://www.trescantoscdf.com</v>
      </c>
      <c r="D240" t="str">
        <v>informacion@trescantoscdf.es</v>
      </c>
      <c r="E240" t="str">
        <v>910855355</v>
      </c>
      <c r="F240" t="str">
        <v>Fútbol · RFFM</v>
      </c>
      <c r="G240" t="str">
        <v>Nuevo</v>
      </c>
      <c r="H240" t="str">
        <v/>
      </c>
      <c r="I240" t="str">
        <v/>
      </c>
      <c r="J240" t="str">
        <v>0</v>
      </c>
      <c r="K240" t="str">
        <v/>
      </c>
      <c r="L240" t="str">
        <v>Enviar Email 1</v>
      </c>
      <c r="M240" t="str">
        <v/>
      </c>
      <c r="N240" t="str">
        <v>41 equipos · Pres: ALVARO CASTIELLA SANCHEZ-OSTIZ · IG:https://www.instagram.com/trescantoscdf/?hl=es</v>
      </c>
    </row>
    <row r="241">
      <c r="A241" t="str">
        <v>AGRUPACION CENTRO DEPORTIVO VALLECAS</v>
      </c>
      <c r="B241" t="str">
        <v>Madrid, Madrid</v>
      </c>
      <c r="C241" t="str">
        <v>https://www.vallecascdv.es</v>
      </c>
      <c r="D241" t="str">
        <v>vallecascdv@yahoo.es</v>
      </c>
      <c r="E241" t="str">
        <v>646523020</v>
      </c>
      <c r="F241" t="str">
        <v>Fútbol · RFFM</v>
      </c>
      <c r="G241" t="str">
        <v>Nuevo</v>
      </c>
      <c r="H241" t="str">
        <v/>
      </c>
      <c r="I241" t="str">
        <v/>
      </c>
      <c r="J241" t="str">
        <v>0</v>
      </c>
      <c r="K241" t="str">
        <v/>
      </c>
      <c r="L241" t="str">
        <v>Enviar Email 1</v>
      </c>
      <c r="M241" t="str">
        <v/>
      </c>
      <c r="N241" t="str">
        <v>10 equipos · Pres: FERNANDO BUENO VALENCIA</v>
      </c>
    </row>
    <row r="242">
      <c r="A242" t="str">
        <v>U.D. MOSTOLES BALOMPIE</v>
      </c>
      <c r="B242" t="str">
        <v>Móstoles, Madrid</v>
      </c>
      <c r="C242" t="str">
        <v>https://mostolesbalompie.es</v>
      </c>
      <c r="D242" t="str">
        <v>info@mostolesbalompie.es</v>
      </c>
      <c r="E242" t="str">
        <v>689453997</v>
      </c>
      <c r="F242" t="str">
        <v>Fútbol · RFFM</v>
      </c>
      <c r="G242" t="str">
        <v>Nuevo</v>
      </c>
      <c r="H242" t="str">
        <v/>
      </c>
      <c r="I242" t="str">
        <v/>
      </c>
      <c r="J242" t="str">
        <v>0</v>
      </c>
      <c r="K242" t="str">
        <v/>
      </c>
      <c r="L242" t="str">
        <v>Enviar Email 1</v>
      </c>
      <c r="M242" t="str">
        <v/>
      </c>
      <c r="N242" t="str">
        <v>23 equipos · Pres: DANIEL MARQUEZ CORRAL · IG:mostbalompie</v>
      </c>
    </row>
    <row r="243">
      <c r="A243" t="str">
        <v>PEÑA TORREJONENSE SAN ISIDRO</v>
      </c>
      <c r="B243" t="str">
        <v>Torrejón De Ardoz, Madrid</v>
      </c>
      <c r="C243" t="str">
        <v>https://ptsanisidro.wixsite.com/2024</v>
      </c>
      <c r="D243" t="str">
        <v>ptsanisidro@gmail.com</v>
      </c>
      <c r="E243" t="str">
        <v>699555018</v>
      </c>
      <c r="F243" t="str">
        <v>Fútbol · RFFM</v>
      </c>
      <c r="G243" t="str">
        <v>Nuevo</v>
      </c>
      <c r="H243" t="str">
        <v/>
      </c>
      <c r="I243" t="str">
        <v/>
      </c>
      <c r="J243" t="str">
        <v>0</v>
      </c>
      <c r="K243" t="str">
        <v/>
      </c>
      <c r="L243" t="str">
        <v>Enviar Email 1</v>
      </c>
      <c r="M243" t="str">
        <v/>
      </c>
      <c r="N243" t="str">
        <v>9 equipos · Pres: INES DE LAS HAZAS GONZALEZ · FB:https://www.facebook.com/profile.php?id=100009845109785 · IG:https://www.instagram.com/pts</v>
      </c>
    </row>
    <row r="244">
      <c r="A244" t="str">
        <v>CDE. POLIGONO H SAN BLAS</v>
      </c>
      <c r="B244" t="str">
        <v>Madrid, Madrid</v>
      </c>
      <c r="C244" t="str">
        <v>https://poligonohsanblas.com</v>
      </c>
      <c r="D244" t="str">
        <v>cdpoligonohsanblas@yahoo.es</v>
      </c>
      <c r="E244" t="str">
        <v>913205199</v>
      </c>
      <c r="F244" t="str">
        <v>Fútbol · RFFM</v>
      </c>
      <c r="G244" t="str">
        <v>Nuevo</v>
      </c>
      <c r="H244" t="str">
        <v/>
      </c>
      <c r="I244" t="str">
        <v/>
      </c>
      <c r="J244" t="str">
        <v>0</v>
      </c>
      <c r="K244" t="str">
        <v/>
      </c>
      <c r="L244" t="str">
        <v>Enviar Email 1</v>
      </c>
      <c r="M244" t="str">
        <v/>
      </c>
      <c r="N244" t="str">
        <v>6 equipos · Pres: MIGUEL ANGEL GARCIA SANZ</v>
      </c>
    </row>
    <row r="245">
      <c r="A245" t="str">
        <v>C.D. MOSTOLES U.R.J.C.</v>
      </c>
      <c r="B245" t="str">
        <v>Móstoles, Madrid</v>
      </c>
      <c r="C245" t="str">
        <v>https://www.cdmostoles.com</v>
      </c>
      <c r="D245" t="str">
        <v>cdmostoles@cdmostoles.com</v>
      </c>
      <c r="E245" t="str">
        <v>641529486</v>
      </c>
      <c r="F245" t="str">
        <v>Fútbol · RFFM</v>
      </c>
      <c r="G245" t="str">
        <v>Nuevo</v>
      </c>
      <c r="H245" t="str">
        <v/>
      </c>
      <c r="I245" t="str">
        <v/>
      </c>
      <c r="J245" t="str">
        <v>0</v>
      </c>
      <c r="K245" t="str">
        <v/>
      </c>
      <c r="L245" t="str">
        <v>Enviar Email 1</v>
      </c>
      <c r="M245" t="str">
        <v/>
      </c>
      <c r="N245" t="str">
        <v>57 equipos · Pres: ALFREDO JOSE GONZALEZ MONTAÑO</v>
      </c>
    </row>
    <row r="246">
      <c r="A246" t="str">
        <v>CLUB MAR ABIERTO</v>
      </c>
      <c r="B246" t="str">
        <v>Madrid, Madrid</v>
      </c>
      <c r="C246" t="str">
        <v>https://www.escueladefutbolmarabierto.com</v>
      </c>
      <c r="D246" t="str">
        <v>ef.marabierto@gmail.com</v>
      </c>
      <c r="E246" t="str">
        <v>683355315</v>
      </c>
      <c r="F246" t="str">
        <v>Fútbol · RFFM</v>
      </c>
      <c r="G246" t="str">
        <v>Nuevo</v>
      </c>
      <c r="H246" t="str">
        <v/>
      </c>
      <c r="I246" t="str">
        <v/>
      </c>
      <c r="J246" t="str">
        <v>0</v>
      </c>
      <c r="K246" t="str">
        <v/>
      </c>
      <c r="L246" t="str">
        <v>Enviar Email 1</v>
      </c>
      <c r="M246" t="str">
        <v/>
      </c>
      <c r="N246" t="str">
        <v>21 equipos · Pres: MANUEL JESUS FERNANDEZ MACIAS</v>
      </c>
    </row>
    <row r="247">
      <c r="A247" t="str">
        <v>A.D.C. SAN FERMIN</v>
      </c>
      <c r="B247" t="str">
        <v>Madrid, Madrid</v>
      </c>
      <c r="C247" t="str">
        <v>https://www.adcsanfermin.es</v>
      </c>
      <c r="D247" t="str">
        <v>adcsanfer@hotmail.com</v>
      </c>
      <c r="E247" t="str">
        <v>644448440</v>
      </c>
      <c r="F247" t="str">
        <v>Fútbol · RFFM</v>
      </c>
      <c r="G247" t="str">
        <v>Nuevo</v>
      </c>
      <c r="H247" t="str">
        <v/>
      </c>
      <c r="I247" t="str">
        <v/>
      </c>
      <c r="J247" t="str">
        <v>0</v>
      </c>
      <c r="K247" t="str">
        <v/>
      </c>
      <c r="L247" t="str">
        <v>Enviar Email 1</v>
      </c>
      <c r="M247" t="str">
        <v/>
      </c>
      <c r="N247" t="str">
        <v>29 equipos · Pres: ANDRES NAVARRO MORALES</v>
      </c>
    </row>
    <row r="248">
      <c r="A248" t="str">
        <v>C.F. FUENLABRADA S.A.D.</v>
      </c>
      <c r="B248" t="str">
        <v>Fuenlabrada, Madrid</v>
      </c>
      <c r="C248" t="str">
        <v>https://www.cffuenlabrada.es</v>
      </c>
      <c r="D248" t="str">
        <v>cffuenlabrada@cffuenlabrada.es</v>
      </c>
      <c r="E248" t="str">
        <v>916063683</v>
      </c>
      <c r="F248" t="str">
        <v>Fútbol · RFFM</v>
      </c>
      <c r="G248" t="str">
        <v>Nuevo</v>
      </c>
      <c r="H248" t="str">
        <v/>
      </c>
      <c r="I248" t="str">
        <v/>
      </c>
      <c r="J248" t="str">
        <v>0</v>
      </c>
      <c r="K248" t="str">
        <v/>
      </c>
      <c r="L248" t="str">
        <v>Enviar Email 1</v>
      </c>
      <c r="M248" t="str">
        <v/>
      </c>
      <c r="N248" t="str">
        <v>19 equipos · Pres: JONATHAN PRAENA SANCHEZ</v>
      </c>
    </row>
    <row r="249">
      <c r="A249" t="str">
        <v>A.D. OÑA SANCHINARRO</v>
      </c>
      <c r="B249" t="str">
        <v>Madrid, Madrid</v>
      </c>
      <c r="C249" t="str">
        <v>https://www.adosanchinarro.com</v>
      </c>
      <c r="D249" t="str">
        <v>administracion@adosanchinarro.com</v>
      </c>
      <c r="E249" t="str">
        <v>913837483</v>
      </c>
      <c r="F249" t="str">
        <v>Fútbol · RFFM</v>
      </c>
      <c r="G249" t="str">
        <v>Nuevo</v>
      </c>
      <c r="H249" t="str">
        <v/>
      </c>
      <c r="I249" t="str">
        <v/>
      </c>
      <c r="J249" t="str">
        <v>0</v>
      </c>
      <c r="K249" t="str">
        <v/>
      </c>
      <c r="L249" t="str">
        <v>Enviar Email 1</v>
      </c>
      <c r="M249" t="str">
        <v/>
      </c>
      <c r="N249" t="str">
        <v>31 equipos · Pres: PEDRO HERNANDEZ GUERRA · FB:https://www.facebook.com/adosanchinarrocf/ · IG:https://www.instagram.com/adonasanchinarro/</v>
      </c>
    </row>
    <row r="250">
      <c r="A250" t="str">
        <v>A.D. BUENAVISTA CASTILLA</v>
      </c>
      <c r="B250" t="str">
        <v>Madrid, Madrid</v>
      </c>
      <c r="C250" t="str">
        <v>verificar</v>
      </c>
      <c r="D250" t="str">
        <v>javierseoane.leston@hotmail.es</v>
      </c>
      <c r="E250" t="str">
        <v>650145280</v>
      </c>
      <c r="F250" t="str">
        <v>Fútbol · RFFM</v>
      </c>
      <c r="G250" t="str">
        <v>Nuevo</v>
      </c>
      <c r="H250" t="str">
        <v/>
      </c>
      <c r="I250" t="str">
        <v/>
      </c>
      <c r="J250" t="str">
        <v>0</v>
      </c>
      <c r="K250" t="str">
        <v/>
      </c>
      <c r="L250" t="str">
        <v>Enviar Email 1</v>
      </c>
      <c r="M250" t="str">
        <v/>
      </c>
      <c r="N250" t="str">
        <v>1 equipos · Pres: JORGE LARRAÑAGA SANCHEZ</v>
      </c>
    </row>
    <row r="251">
      <c r="A251" t="str">
        <v>C.D. VALDETORRES</v>
      </c>
      <c r="B251" t="str">
        <v>Valdetorres De Jarama, Madrid</v>
      </c>
      <c r="C251" t="str">
        <v>https://clubdeportivovaldetorres.ffmadrid.org</v>
      </c>
      <c r="D251" t="str">
        <v>Clubdeportivovaldetorres2023@gmail.com</v>
      </c>
      <c r="E251" t="str">
        <v>687294732</v>
      </c>
      <c r="F251" t="str">
        <v>Fútbol · RFFM</v>
      </c>
      <c r="G251" t="str">
        <v>Nuevo</v>
      </c>
      <c r="H251" t="str">
        <v/>
      </c>
      <c r="I251" t="str">
        <v/>
      </c>
      <c r="J251" t="str">
        <v>0</v>
      </c>
      <c r="K251" t="str">
        <v/>
      </c>
      <c r="L251" t="str">
        <v>Enviar Email 1</v>
      </c>
      <c r="M251" t="str">
        <v/>
      </c>
      <c r="N251" t="str">
        <v>7 equipos · Pres: DAVID MOTA RAMONS</v>
      </c>
    </row>
    <row r="252">
      <c r="A252" t="str">
        <v>C.F. RAYO MAJADAHONDA SAD</v>
      </c>
      <c r="B252" t="str">
        <v>Majadahonda, Madrid</v>
      </c>
      <c r="C252" t="str">
        <v>https://www.rayomajadahonda.com</v>
      </c>
      <c r="D252" t="str">
        <v>gerencia@rayomajadahonda.com</v>
      </c>
      <c r="E252" t="str">
        <v>917165238</v>
      </c>
      <c r="F252" t="str">
        <v>Fútbol · RFFM</v>
      </c>
      <c r="G252" t="str">
        <v>Nuevo</v>
      </c>
      <c r="H252" t="str">
        <v/>
      </c>
      <c r="I252" t="str">
        <v/>
      </c>
      <c r="J252" t="str">
        <v>0</v>
      </c>
      <c r="K252" t="str">
        <v/>
      </c>
      <c r="L252" t="str">
        <v>Enviar Email 1</v>
      </c>
      <c r="M252" t="str">
        <v/>
      </c>
      <c r="N252" t="str">
        <v>19 equipos · Pres: ENRIQUE VEDIA PESQUERA</v>
      </c>
    </row>
    <row r="253">
      <c r="A253" t="str">
        <v>UNION ZONA NORTE</v>
      </c>
      <c r="B253" t="str">
        <v>Madrid, Madrid</v>
      </c>
      <c r="C253" t="str">
        <v>https://cuzonanorte.com</v>
      </c>
      <c r="D253" t="str">
        <v>zonanortepedro35@gmail.com</v>
      </c>
      <c r="E253" t="str">
        <v>609264779</v>
      </c>
      <c r="F253" t="str">
        <v>Fútbol · RFFM</v>
      </c>
      <c r="G253" t="str">
        <v>Nuevo</v>
      </c>
      <c r="H253" t="str">
        <v/>
      </c>
      <c r="I253" t="str">
        <v/>
      </c>
      <c r="J253" t="str">
        <v>0</v>
      </c>
      <c r="K253" t="str">
        <v/>
      </c>
      <c r="L253" t="str">
        <v>Enviar Email 1</v>
      </c>
      <c r="M253" t="str">
        <v/>
      </c>
      <c r="N253" t="str">
        <v>51 equipos · Pres: PEDRO MUÑOZ RUBIO</v>
      </c>
    </row>
    <row r="254">
      <c r="A254" t="str">
        <v>C.D.E. NUEVO CIUDAD</v>
      </c>
      <c r="B254" t="str">
        <v>Fuenlabrada, Madrid</v>
      </c>
      <c r="C254" t="str">
        <v>verificar</v>
      </c>
      <c r="D254" t="str">
        <v>ciudaddecubasdelasagra@gmail.com</v>
      </c>
      <c r="E254" t="str">
        <v>646825123</v>
      </c>
      <c r="F254" t="str">
        <v>Fútbol · RFFM</v>
      </c>
      <c r="G254" t="str">
        <v>Nuevo</v>
      </c>
      <c r="H254" t="str">
        <v/>
      </c>
      <c r="I254" t="str">
        <v/>
      </c>
      <c r="J254" t="str">
        <v>0</v>
      </c>
      <c r="K254" t="str">
        <v/>
      </c>
      <c r="L254" t="str">
        <v>Enviar Email 1</v>
      </c>
      <c r="M254" t="str">
        <v/>
      </c>
      <c r="N254" t="str">
        <v>4 equipos · Pres: FRANCISCO MONTERO PRIETO</v>
      </c>
    </row>
    <row r="255">
      <c r="A255" t="str">
        <v>C.D. ESC. FUT. VILLA DE MADRID</v>
      </c>
      <c r="B255" t="str">
        <v>Madrid, Madrid</v>
      </c>
      <c r="C255" t="str">
        <v>https://efvillademadrid.ffmadrid.org</v>
      </c>
      <c r="D255" t="str">
        <v>efvillademadrid@gmail.com</v>
      </c>
      <c r="E255" t="str">
        <v>673525989</v>
      </c>
      <c r="F255" t="str">
        <v>Fútbol · RFFM</v>
      </c>
      <c r="G255" t="str">
        <v>Nuevo</v>
      </c>
      <c r="H255" t="str">
        <v/>
      </c>
      <c r="I255" t="str">
        <v/>
      </c>
      <c r="J255" t="str">
        <v>0</v>
      </c>
      <c r="K255" t="str">
        <v/>
      </c>
      <c r="L255" t="str">
        <v>Enviar Email 1</v>
      </c>
      <c r="M255" t="str">
        <v/>
      </c>
      <c r="N255" t="str">
        <v>15 equipos · Pres: LUIS RAMON HONRADO SOLAR</v>
      </c>
    </row>
    <row r="256">
      <c r="A256" t="str">
        <v>ESCUELA DE FUTBOL DE BRUNETE</v>
      </c>
      <c r="B256" t="str">
        <v>Brunete, Madrid</v>
      </c>
      <c r="C256" t="str">
        <v>http://fundacionjrdelamorena.es/escuela-de-futbol-de-brunete/</v>
      </c>
      <c r="D256" t="str">
        <v>efbrunete@gmail.com</v>
      </c>
      <c r="E256" t="str">
        <v>659325630</v>
      </c>
      <c r="F256" t="str">
        <v>Fútbol · RFFM</v>
      </c>
      <c r="G256" t="str">
        <v>Nuevo</v>
      </c>
      <c r="H256" t="str">
        <v/>
      </c>
      <c r="I256" t="str">
        <v/>
      </c>
      <c r="J256" t="str">
        <v>0</v>
      </c>
      <c r="K256" t="str">
        <v/>
      </c>
      <c r="L256" t="str">
        <v>Enviar Email 1</v>
      </c>
      <c r="M256" t="str">
        <v/>
      </c>
      <c r="N256" t="str">
        <v>11 equipos · Pres: LUCIANO GOMEZ PEREZ</v>
      </c>
    </row>
    <row r="257">
      <c r="A257" t="str">
        <v>RECREATIVO SOTO DEL REAL C.F.</v>
      </c>
      <c r="B257" t="str">
        <v>Soto Del Real, Madrid</v>
      </c>
      <c r="C257" t="str">
        <v>https://www.recresoto.com</v>
      </c>
      <c r="D257" t="str">
        <v>info@recresoto.com</v>
      </c>
      <c r="E257" t="str">
        <v>675857609</v>
      </c>
      <c r="F257" t="str">
        <v>Fútbol · RFFM</v>
      </c>
      <c r="G257" t="str">
        <v>Nuevo</v>
      </c>
      <c r="H257" t="str">
        <v/>
      </c>
      <c r="I257" t="str">
        <v/>
      </c>
      <c r="J257" t="str">
        <v>0</v>
      </c>
      <c r="K257" t="str">
        <v/>
      </c>
      <c r="L257" t="str">
        <v>Enviar Email 1</v>
      </c>
      <c r="M257" t="str">
        <v/>
      </c>
      <c r="N257" t="str">
        <v>22 equipos · Pres: VITO DEL CONTE</v>
      </c>
    </row>
    <row r="258">
      <c r="A258" t="str">
        <v>ATLETICO TRABENCO ZARZAQUEMADA</v>
      </c>
      <c r="B258" t="str">
        <v>Leganés, Madrid</v>
      </c>
      <c r="C258" t="str">
        <v>https://www.atleticotrabenco.es</v>
      </c>
      <c r="D258" t="str">
        <v>david@loteriasleganes.com</v>
      </c>
      <c r="E258" t="str">
        <v>689631964</v>
      </c>
      <c r="F258" t="str">
        <v>Fútbol · RFFM</v>
      </c>
      <c r="G258" t="str">
        <v>Nuevo</v>
      </c>
      <c r="H258" t="str">
        <v/>
      </c>
      <c r="I258" t="str">
        <v/>
      </c>
      <c r="J258" t="str">
        <v>0</v>
      </c>
      <c r="K258" t="str">
        <v/>
      </c>
      <c r="L258" t="str">
        <v>Enviar Email 1</v>
      </c>
      <c r="M258" t="str">
        <v/>
      </c>
      <c r="N258" t="str">
        <v>24 equipos · Pres: DAVID MARTIN LOPEZ</v>
      </c>
    </row>
    <row r="259">
      <c r="A259" t="str">
        <v>A.D. UNION CARRASCAL</v>
      </c>
      <c r="B259" t="str">
        <v>Leganés, Madrid</v>
      </c>
      <c r="C259" t="str">
        <v>verificar</v>
      </c>
      <c r="D259" t="str">
        <v>pabloaducarrascal@gmail.com</v>
      </c>
      <c r="E259" t="str">
        <v>629051329</v>
      </c>
      <c r="F259" t="str">
        <v>Fútbol · RFFM</v>
      </c>
      <c r="G259" t="str">
        <v>Nuevo</v>
      </c>
      <c r="H259" t="str">
        <v/>
      </c>
      <c r="I259" t="str">
        <v/>
      </c>
      <c r="J259" t="str">
        <v>0</v>
      </c>
      <c r="K259" t="str">
        <v/>
      </c>
      <c r="L259" t="str">
        <v>Enviar Email 1</v>
      </c>
      <c r="M259" t="str">
        <v/>
      </c>
      <c r="N259" t="str">
        <v>30 equipos · Pres: PABLO ALVAREZ DELGADO</v>
      </c>
    </row>
    <row r="260">
      <c r="A260" t="str">
        <v>A.D. TORREJON C.F.</v>
      </c>
      <c r="B260" t="str">
        <v>Torrejón De Ardoz, Madrid</v>
      </c>
      <c r="C260" t="str">
        <v>https://www.adtorrejoncf.com</v>
      </c>
      <c r="D260" t="str">
        <v>presidencia@adtorrejoncf.com</v>
      </c>
      <c r="E260" t="str">
        <v>verificar</v>
      </c>
      <c r="F260" t="str">
        <v>Fútbol · RFFM</v>
      </c>
      <c r="G260" t="str">
        <v>Nuevo</v>
      </c>
      <c r="H260" t="str">
        <v/>
      </c>
      <c r="I260" t="str">
        <v/>
      </c>
      <c r="J260" t="str">
        <v>0</v>
      </c>
      <c r="K260" t="str">
        <v/>
      </c>
      <c r="L260" t="str">
        <v>Enviar Email 1</v>
      </c>
      <c r="M260" t="str">
        <v/>
      </c>
      <c r="N260" t="str">
        <v>43 equipos · Pres: ALFREDO DE LA CAL RUBIO</v>
      </c>
    </row>
    <row r="261">
      <c r="A261" t="str">
        <v>C.D. VALDEAVERO</v>
      </c>
      <c r="B261" t="str">
        <v>Valdeavero, Madrid</v>
      </c>
      <c r="C261" t="str">
        <v>verificar</v>
      </c>
      <c r="D261" t="str">
        <v>UGCALVO@HOTMAIL.ES</v>
      </c>
      <c r="E261" t="str">
        <v>635352155</v>
      </c>
      <c r="F261" t="str">
        <v>Fútbol · RFFM</v>
      </c>
      <c r="G261" t="str">
        <v>Nuevo</v>
      </c>
      <c r="H261" t="str">
        <v/>
      </c>
      <c r="I261" t="str">
        <v/>
      </c>
      <c r="J261" t="str">
        <v>0</v>
      </c>
      <c r="K261" t="str">
        <v/>
      </c>
      <c r="L261" t="str">
        <v>Enviar Email 1</v>
      </c>
      <c r="M261" t="str">
        <v/>
      </c>
      <c r="N261" t="str">
        <v>1 equipos · Pres: EUGENIO CALVO RIVILLO</v>
      </c>
    </row>
    <row r="262">
      <c r="A262" t="str">
        <v>C.D. TAJO FUENTIDUEÑA</v>
      </c>
      <c r="B262" t="str">
        <v>Alcalá De Henares, Madrid</v>
      </c>
      <c r="C262" t="str">
        <v>verificar</v>
      </c>
      <c r="D262" t="str">
        <v>verificar</v>
      </c>
      <c r="E262" t="str">
        <v>918728206</v>
      </c>
      <c r="F262" t="str">
        <v>Fútbol · RFFM</v>
      </c>
      <c r="G262" t="str">
        <v>Nuevo</v>
      </c>
      <c r="H262" t="str">
        <v/>
      </c>
      <c r="I262" t="str">
        <v/>
      </c>
      <c r="J262" t="str">
        <v>0</v>
      </c>
      <c r="K262" t="str">
        <v/>
      </c>
      <c r="L262" t="str">
        <v>Enviar Email 1</v>
      </c>
      <c r="M262" t="str">
        <v/>
      </c>
      <c r="N262" t="str">
        <v>4 equipos · Pres: PEDRO TERRES GARILLETE</v>
      </c>
    </row>
    <row r="263">
      <c r="A263" t="str">
        <v>C.D. BUSTARVIEJO</v>
      </c>
      <c r="B263" t="str">
        <v>Bustarviejo, Madrid</v>
      </c>
      <c r="C263" t="str">
        <v>https://www.cdbustarviejo.com</v>
      </c>
      <c r="D263" t="str">
        <v>cdbustarviejo@gmail.com</v>
      </c>
      <c r="E263" t="str">
        <v>670018673</v>
      </c>
      <c r="F263" t="str">
        <v>Fútbol · RFFM</v>
      </c>
      <c r="G263" t="str">
        <v>Nuevo</v>
      </c>
      <c r="H263" t="str">
        <v/>
      </c>
      <c r="I263" t="str">
        <v/>
      </c>
      <c r="J263" t="str">
        <v>0</v>
      </c>
      <c r="K263" t="str">
        <v/>
      </c>
      <c r="L263" t="str">
        <v>Enviar Email 1</v>
      </c>
      <c r="M263" t="str">
        <v/>
      </c>
      <c r="N263" t="str">
        <v>7 equipos · Pres: MANUEL BERMUDO SANTACRUZ</v>
      </c>
    </row>
    <row r="264">
      <c r="A264" t="str">
        <v>GREDOS SAN DIEGO</v>
      </c>
      <c r="B264" t="str">
        <v>Madrid, Madrid</v>
      </c>
      <c r="C264" t="str">
        <v>http://www.clubdeportivogsd.com/</v>
      </c>
      <c r="D264" t="str">
        <v>clubdeportivo@gsd.coop</v>
      </c>
      <c r="E264" t="str">
        <v>917861347</v>
      </c>
      <c r="F264" t="str">
        <v>Fútbol · RFFM</v>
      </c>
      <c r="G264" t="str">
        <v>Nuevo</v>
      </c>
      <c r="H264" t="str">
        <v/>
      </c>
      <c r="I264" t="str">
        <v/>
      </c>
      <c r="J264" t="str">
        <v>0</v>
      </c>
      <c r="K264" t="str">
        <v/>
      </c>
      <c r="L264" t="str">
        <v>Enviar Email 1</v>
      </c>
      <c r="M264" t="str">
        <v/>
      </c>
      <c r="N264" t="str">
        <v>73 equipos · Pres: JOSE LUIS MIRANDA MARTINEZ</v>
      </c>
    </row>
    <row r="265">
      <c r="A265" t="str">
        <v>A.D. NUEVA CASTILLA</v>
      </c>
      <c r="B265" t="str">
        <v>Madrid, Madrid</v>
      </c>
      <c r="C265" t="str">
        <v>verificar</v>
      </c>
      <c r="D265" t="str">
        <v>adc_nuevacastilla@colegionuevacastilla.es</v>
      </c>
      <c r="E265" t="str">
        <v>650226883</v>
      </c>
      <c r="F265" t="str">
        <v>Fútbol · RFFM</v>
      </c>
      <c r="G265" t="str">
        <v>Nuevo</v>
      </c>
      <c r="H265" t="str">
        <v/>
      </c>
      <c r="I265" t="str">
        <v/>
      </c>
      <c r="J265" t="str">
        <v>0</v>
      </c>
      <c r="K265" t="str">
        <v/>
      </c>
      <c r="L265" t="str">
        <v>Enviar Email 1</v>
      </c>
      <c r="M265" t="str">
        <v/>
      </c>
      <c r="N265" t="str">
        <v>10 equipos · Pres: BORJA ALCALDE ENCINAS</v>
      </c>
    </row>
    <row r="266">
      <c r="A266" t="str">
        <v>C.F. TORREJON DE LA CALZADA</v>
      </c>
      <c r="B266" t="str">
        <v>Torrejón De La Calzada, Madrid</v>
      </c>
      <c r="C266" t="str">
        <v>https://www.cftorrejondelacalzada.com</v>
      </c>
      <c r="D266" t="str">
        <v>cftorrejondelacalzada@gmail.com</v>
      </c>
      <c r="E266" t="str">
        <v>649067831</v>
      </c>
      <c r="F266" t="str">
        <v>Fútbol · RFFM</v>
      </c>
      <c r="G266" t="str">
        <v>Nuevo</v>
      </c>
      <c r="H266" t="str">
        <v/>
      </c>
      <c r="I266" t="str">
        <v/>
      </c>
      <c r="J266" t="str">
        <v>0</v>
      </c>
      <c r="K266" t="str">
        <v/>
      </c>
      <c r="L266" t="str">
        <v>Enviar Email 1</v>
      </c>
      <c r="M266" t="str">
        <v/>
      </c>
      <c r="N266" t="str">
        <v>1 equipos · FB:https://www.facebook.com/cftcalzada · IG:c.f.torrejondelacalzada</v>
      </c>
    </row>
    <row r="267">
      <c r="A267" t="str">
        <v>C.D. MEJOREÑO</v>
      </c>
      <c r="B267" t="str">
        <v>Mejorada Del Campo, Madrid</v>
      </c>
      <c r="C267" t="str">
        <v>https://www.cdmejoreno.com</v>
      </c>
      <c r="D267" t="str">
        <v>cdmejoreno@gmail.com</v>
      </c>
      <c r="E267" t="str">
        <v>626981712</v>
      </c>
      <c r="F267" t="str">
        <v>Fútbol · RFFM</v>
      </c>
      <c r="G267" t="str">
        <v>Nuevo</v>
      </c>
      <c r="H267" t="str">
        <v/>
      </c>
      <c r="I267" t="str">
        <v/>
      </c>
      <c r="J267" t="str">
        <v>0</v>
      </c>
      <c r="K267" t="str">
        <v/>
      </c>
      <c r="L267" t="str">
        <v>Enviar Email 1</v>
      </c>
      <c r="M267" t="str">
        <v/>
      </c>
      <c r="N267" t="str">
        <v>11 equipos · Pres: FRANCISCO JAVIER RAMIREZ BROTONS · IG:cdm1919</v>
      </c>
    </row>
    <row r="268">
      <c r="A268" t="str">
        <v>A.D. COMPLUTENSE ALCALA</v>
      </c>
      <c r="B268" t="str">
        <v>Alcalá De Henares, Madrid</v>
      </c>
      <c r="C268" t="str">
        <v>http://www.adcomplutense.es/</v>
      </c>
      <c r="D268" t="str">
        <v>adcomplu.complu@gmail.com</v>
      </c>
      <c r="E268" t="str">
        <v>918835512</v>
      </c>
      <c r="F268" t="str">
        <v>Fútbol · RFFM</v>
      </c>
      <c r="G268" t="str">
        <v>Nuevo</v>
      </c>
      <c r="H268" t="str">
        <v/>
      </c>
      <c r="I268" t="str">
        <v/>
      </c>
      <c r="J268" t="str">
        <v>0</v>
      </c>
      <c r="K268" t="str">
        <v/>
      </c>
      <c r="L268" t="str">
        <v>Enviar Email 1</v>
      </c>
      <c r="M268" t="str">
        <v/>
      </c>
      <c r="N268" t="str">
        <v>39 equipos · Pres: ANDRES PIZARRO MIRAVALLES</v>
      </c>
    </row>
    <row r="269">
      <c r="A269" t="str">
        <v>C.F. AMISPORT</v>
      </c>
      <c r="B269" t="str">
        <v>Madrid, Madrid</v>
      </c>
      <c r="C269" t="str">
        <v>https://cfamisport.com</v>
      </c>
      <c r="D269" t="str">
        <v>cfamisport1974@gmail.com</v>
      </c>
      <c r="E269" t="str">
        <v>620007842</v>
      </c>
      <c r="F269" t="str">
        <v>Fútbol · RFFM</v>
      </c>
      <c r="G269" t="str">
        <v>Nuevo</v>
      </c>
      <c r="H269" t="str">
        <v/>
      </c>
      <c r="I269" t="str">
        <v/>
      </c>
      <c r="J269" t="str">
        <v>0</v>
      </c>
      <c r="K269" t="str">
        <v/>
      </c>
      <c r="L269" t="str">
        <v>Enviar Email 1</v>
      </c>
      <c r="M269" t="str">
        <v/>
      </c>
      <c r="N269" t="str">
        <v>2 equipos · Pres: JUAN CARLOS AREVALO ALONSO · IG:cfamisport1974</v>
      </c>
    </row>
    <row r="270">
      <c r="A270" t="str">
        <v>C.D. LA AVANZADA</v>
      </c>
      <c r="B270" t="str">
        <v>Fuenlabrada, Madrid</v>
      </c>
      <c r="C270" t="str">
        <v>https://cdelaavanzada.ffmadrid.org</v>
      </c>
      <c r="D270" t="str">
        <v>cde.avanzada@hotmail.com</v>
      </c>
      <c r="E270" t="str">
        <v>689025327</v>
      </c>
      <c r="F270" t="str">
        <v>Fútbol · RFFM</v>
      </c>
      <c r="G270" t="str">
        <v>Nuevo</v>
      </c>
      <c r="H270" t="str">
        <v/>
      </c>
      <c r="I270" t="str">
        <v/>
      </c>
      <c r="J270" t="str">
        <v>0</v>
      </c>
      <c r="K270" t="str">
        <v/>
      </c>
      <c r="L270" t="str">
        <v>Enviar Email 1</v>
      </c>
      <c r="M270" t="str">
        <v/>
      </c>
      <c r="N270" t="str">
        <v>12 equipos · Pres: ANTONIO PAREJA MUELA · IG:cd_laavanzada</v>
      </c>
    </row>
    <row r="271">
      <c r="A271" t="str">
        <v>VILLALBILLA C.F.</v>
      </c>
      <c r="B271" t="str">
        <v>Villalbilla, Madrid</v>
      </c>
      <c r="C271" t="str">
        <v>verificar</v>
      </c>
      <c r="D271" t="str">
        <v>villalbillacf@hotmail.com</v>
      </c>
      <c r="E271" t="str">
        <v>626916746</v>
      </c>
      <c r="F271" t="str">
        <v>Fútbol · RFFM</v>
      </c>
      <c r="G271" t="str">
        <v>Nuevo</v>
      </c>
      <c r="H271" t="str">
        <v/>
      </c>
      <c r="I271" t="str">
        <v/>
      </c>
      <c r="J271" t="str">
        <v>0</v>
      </c>
      <c r="K271" t="str">
        <v/>
      </c>
      <c r="L271" t="str">
        <v>Enviar Email 1</v>
      </c>
      <c r="M271" t="str">
        <v/>
      </c>
      <c r="N271" t="str">
        <v>17 equipos · Pres: CARLOS ACEVEDO LOPEZ DE LOS MOZOS</v>
      </c>
    </row>
    <row r="272">
      <c r="A272" t="str">
        <v>DEPORTIVO YUNCOS</v>
      </c>
      <c r="B272" t="str">
        <v>Getafe, Madrid</v>
      </c>
      <c r="C272" t="str">
        <v>verificar</v>
      </c>
      <c r="D272" t="str">
        <v>coordinacion.futbol.yuncos@gmail.com</v>
      </c>
      <c r="E272" t="str">
        <v>925537423</v>
      </c>
      <c r="F272" t="str">
        <v>Fútbol · RFFM</v>
      </c>
      <c r="G272" t="str">
        <v>Nuevo</v>
      </c>
      <c r="H272" t="str">
        <v/>
      </c>
      <c r="I272" t="str">
        <v/>
      </c>
      <c r="J272" t="str">
        <v>0</v>
      </c>
      <c r="K272" t="str">
        <v/>
      </c>
      <c r="L272" t="str">
        <v>Enviar Email 1</v>
      </c>
      <c r="M272" t="str">
        <v/>
      </c>
      <c r="N272" t="str">
        <v>13 equipos · Pres: DANIEL RUGEROS MUÑOZ</v>
      </c>
    </row>
    <row r="273">
      <c r="A273" t="str">
        <v>A.D. LA MECA DE RIVAS</v>
      </c>
      <c r="B273" t="str">
        <v>Rivas-Vaciamadrid, Madrid</v>
      </c>
      <c r="C273" t="str">
        <v>https://www.lamecaderivas.com</v>
      </c>
      <c r="D273" t="str">
        <v>lamecaderivas@lamecaderivas.com</v>
      </c>
      <c r="E273" t="str">
        <v>687410346</v>
      </c>
      <c r="F273" t="str">
        <v>Fútbol · RFFM</v>
      </c>
      <c r="G273" t="str">
        <v>Nuevo</v>
      </c>
      <c r="H273" t="str">
        <v/>
      </c>
      <c r="I273" t="str">
        <v/>
      </c>
      <c r="J273" t="str">
        <v>0</v>
      </c>
      <c r="K273" t="str">
        <v/>
      </c>
      <c r="L273" t="str">
        <v>Enviar Email 1</v>
      </c>
      <c r="M273" t="str">
        <v/>
      </c>
      <c r="N273" t="str">
        <v xml:space="preserve">17 equipos · Pres: JULIAN MERINO TORRES · FB:www.facebook.com/lamecaderivas/  · IG:www.instagram.com/mecaderivas/ </v>
      </c>
    </row>
    <row r="274">
      <c r="A274" t="str">
        <v>C.D. VIRGEN DE MIRASIERRA</v>
      </c>
      <c r="B274" t="str">
        <v>Madrid, Madrid</v>
      </c>
      <c r="C274" t="str">
        <v>https://www.virgendemirasierra.com</v>
      </c>
      <c r="D274" t="str">
        <v>futbol@virgendemirasierra.eu</v>
      </c>
      <c r="E274" t="str">
        <v>917387300</v>
      </c>
      <c r="F274" t="str">
        <v>Fútbol · RFFM</v>
      </c>
      <c r="G274" t="str">
        <v>Nuevo</v>
      </c>
      <c r="H274" t="str">
        <v/>
      </c>
      <c r="I274" t="str">
        <v/>
      </c>
      <c r="J274" t="str">
        <v>0</v>
      </c>
      <c r="K274" t="str">
        <v/>
      </c>
      <c r="L274" t="str">
        <v>Enviar Email 1</v>
      </c>
      <c r="M274" t="str">
        <v/>
      </c>
      <c r="N274" t="str">
        <v>11 equipos · Pres: GRACIELA PIEDRASANTA HERNANDO JIMENEZ</v>
      </c>
    </row>
    <row r="275">
      <c r="A275" t="str">
        <v>CDE ENTIERGAL</v>
      </c>
      <c r="B275" t="str">
        <v>Móstoles, Madrid</v>
      </c>
      <c r="C275" t="str">
        <v>verificar</v>
      </c>
      <c r="D275" t="str">
        <v>acdentiergalm@gmail.com</v>
      </c>
      <c r="E275" t="str">
        <v>615167058</v>
      </c>
      <c r="F275" t="str">
        <v>Fútbol · RFFM</v>
      </c>
      <c r="G275" t="str">
        <v>Nuevo</v>
      </c>
      <c r="H275" t="str">
        <v/>
      </c>
      <c r="I275" t="str">
        <v/>
      </c>
      <c r="J275" t="str">
        <v>0</v>
      </c>
      <c r="K275" t="str">
        <v/>
      </c>
      <c r="L275" t="str">
        <v>Enviar Email 1</v>
      </c>
      <c r="M275" t="str">
        <v/>
      </c>
      <c r="N275" t="str">
        <v>3 equipos · Pres: BIENVENIDO PEINADO GARRIDO · FB:acdentiergalm · IG:acdentiergal</v>
      </c>
    </row>
    <row r="276">
      <c r="A276" t="str">
        <v>C.F. VALDEOLMOS</v>
      </c>
      <c r="B276" t="str">
        <v>Valdeolmos-Alalpardo, Madrid</v>
      </c>
      <c r="C276" t="str">
        <v>verificar</v>
      </c>
      <c r="D276" t="str">
        <v>clubdefutbolvaldeolmos@gmail.com</v>
      </c>
      <c r="E276" t="str">
        <v>636472055</v>
      </c>
      <c r="F276" t="str">
        <v>Fútbol · RFFM</v>
      </c>
      <c r="G276" t="str">
        <v>Nuevo</v>
      </c>
      <c r="H276" t="str">
        <v/>
      </c>
      <c r="I276" t="str">
        <v/>
      </c>
      <c r="J276" t="str">
        <v>0</v>
      </c>
      <c r="K276" t="str">
        <v/>
      </c>
      <c r="L276" t="str">
        <v>Enviar Email 1</v>
      </c>
      <c r="M276" t="str">
        <v/>
      </c>
      <c r="N276" t="str">
        <v>1 equipos · Pres: ANGEL GARCIA MEDRANDA · FB:CF Valdeolmos · IG:@cfvaldeolmos</v>
      </c>
    </row>
    <row r="277">
      <c r="A277" t="str">
        <v>ASD MOSTOLES</v>
      </c>
      <c r="B277" t="str">
        <v>Móstoles, Madrid</v>
      </c>
      <c r="C277" t="str">
        <v>verificar</v>
      </c>
      <c r="D277" t="str">
        <v>asd@asdmostoles.org</v>
      </c>
      <c r="E277" t="str">
        <v>695799691</v>
      </c>
      <c r="F277" t="str">
        <v>Fútbol · RFFM</v>
      </c>
      <c r="G277" t="str">
        <v>Nuevo</v>
      </c>
      <c r="H277" t="str">
        <v/>
      </c>
      <c r="I277" t="str">
        <v/>
      </c>
      <c r="J277" t="str">
        <v>0</v>
      </c>
      <c r="K277" t="str">
        <v/>
      </c>
      <c r="L277" t="str">
        <v>Enviar Email 1</v>
      </c>
      <c r="M277" t="str">
        <v/>
      </c>
      <c r="N277" t="str">
        <v>3 equipos · Pres: JOSE LUIS MARTIN RAMOS</v>
      </c>
    </row>
    <row r="278">
      <c r="A278" t="str">
        <v>A.D. COLLADO MEDIANO</v>
      </c>
      <c r="B278" t="str">
        <v>Collado Mediano, Madrid</v>
      </c>
      <c r="C278" t="str">
        <v>https://www.adcolladomediano.es</v>
      </c>
      <c r="D278" t="str">
        <v>colladosegur@gmail.com</v>
      </c>
      <c r="E278" t="str">
        <v>636061121</v>
      </c>
      <c r="F278" t="str">
        <v>Fútbol · RFFM</v>
      </c>
      <c r="G278" t="str">
        <v>Nuevo</v>
      </c>
      <c r="H278" t="str">
        <v/>
      </c>
      <c r="I278" t="str">
        <v/>
      </c>
      <c r="J278" t="str">
        <v>0</v>
      </c>
      <c r="K278" t="str">
        <v/>
      </c>
      <c r="L278" t="str">
        <v>Enviar Email 1</v>
      </c>
      <c r="M278" t="str">
        <v/>
      </c>
      <c r="N278" t="str">
        <v>3 equipos · Pres: JOSE GUADARRAMA GUTIERREZ</v>
      </c>
    </row>
    <row r="279">
      <c r="A279" t="str">
        <v>UNION DEPORTIVA TRES CANTOS</v>
      </c>
      <c r="B279" t="str">
        <v>Tres Cantos, Madrid</v>
      </c>
      <c r="C279" t="str">
        <v>https://www.ud3c.es</v>
      </c>
      <c r="D279" t="str">
        <v>info@ud3c.es</v>
      </c>
      <c r="E279" t="str">
        <v>679017988</v>
      </c>
      <c r="F279" t="str">
        <v>Fútbol · RFFM</v>
      </c>
      <c r="G279" t="str">
        <v>Nuevo</v>
      </c>
      <c r="H279" t="str">
        <v/>
      </c>
      <c r="I279" t="str">
        <v/>
      </c>
      <c r="J279" t="str">
        <v>0</v>
      </c>
      <c r="K279" t="str">
        <v/>
      </c>
      <c r="L279" t="str">
        <v>Enviar Email 1</v>
      </c>
      <c r="M279" t="str">
        <v/>
      </c>
      <c r="N279" t="str">
        <v>34 equipos · Pres: OLGA GORDILLO TREBOL</v>
      </c>
    </row>
    <row r="280">
      <c r="A280" t="str">
        <v>C.D. ESTREMERA</v>
      </c>
      <c r="B280" t="str">
        <v>Estremera, Madrid</v>
      </c>
      <c r="C280" t="str">
        <v>verificar</v>
      </c>
      <c r="D280" t="str">
        <v>amorenoh@fondomovil.com</v>
      </c>
      <c r="E280" t="str">
        <v>627250926</v>
      </c>
      <c r="F280" t="str">
        <v>Fútbol · RFFM</v>
      </c>
      <c r="G280" t="str">
        <v>Nuevo</v>
      </c>
      <c r="H280" t="str">
        <v/>
      </c>
      <c r="I280" t="str">
        <v/>
      </c>
      <c r="J280" t="str">
        <v>0</v>
      </c>
      <c r="K280" t="str">
        <v/>
      </c>
      <c r="L280" t="str">
        <v>Enviar Email 1</v>
      </c>
      <c r="M280" t="str">
        <v/>
      </c>
      <c r="N280" t="str">
        <v>4 equipos · Pres: CHRISTIAN RODRIGUEZ MORENO</v>
      </c>
    </row>
    <row r="281">
      <c r="A281" t="str">
        <v>C.F. SAN AGUSTIN DE GUADALIX</v>
      </c>
      <c r="B281" t="str">
        <v>San Agustín Del Guadalix, Madrid</v>
      </c>
      <c r="C281" t="str">
        <v>https://www.cfsanagustin.com</v>
      </c>
      <c r="D281" t="str">
        <v>cfsanagustindelguadalix@gmail.com</v>
      </c>
      <c r="E281" t="str">
        <v>629111050</v>
      </c>
      <c r="F281" t="str">
        <v>Fútbol · RFFM</v>
      </c>
      <c r="G281" t="str">
        <v>Nuevo</v>
      </c>
      <c r="H281" t="str">
        <v/>
      </c>
      <c r="I281" t="str">
        <v/>
      </c>
      <c r="J281" t="str">
        <v>0</v>
      </c>
      <c r="K281" t="str">
        <v/>
      </c>
      <c r="L281" t="str">
        <v>Enviar Email 1</v>
      </c>
      <c r="M281" t="str">
        <v/>
      </c>
      <c r="N281" t="str">
        <v>18 equipos · Pres: JUAN MANUEL GARCIA GARCIA · IG:www.instagram.com/cf_sanagustin</v>
      </c>
    </row>
    <row r="282">
      <c r="A282" t="str">
        <v>A.D. JUVENTUD CANARIO</v>
      </c>
      <c r="B282" t="str">
        <v>Getafe, Madrid</v>
      </c>
      <c r="C282" t="str">
        <v>https://www.juventudcanario.com</v>
      </c>
      <c r="D282" t="str">
        <v>adjuventud_canario@hotmail.com</v>
      </c>
      <c r="E282" t="str">
        <v>916951882</v>
      </c>
      <c r="F282" t="str">
        <v>Fútbol · RFFM</v>
      </c>
      <c r="G282" t="str">
        <v>Nuevo</v>
      </c>
      <c r="H282" t="str">
        <v/>
      </c>
      <c r="I282" t="str">
        <v/>
      </c>
      <c r="J282" t="str">
        <v>0</v>
      </c>
      <c r="K282" t="str">
        <v/>
      </c>
      <c r="L282" t="str">
        <v>Enviar Email 1</v>
      </c>
      <c r="M282" t="str">
        <v/>
      </c>
      <c r="N282" t="str">
        <v>13 equipos · Pres: JOSE Mª RODRIGUEZ GOMEZ</v>
      </c>
    </row>
    <row r="283">
      <c r="A283" t="str">
        <v>C.D. ALGETE</v>
      </c>
      <c r="B283" t="str">
        <v>Algete, Madrid</v>
      </c>
      <c r="C283" t="str">
        <v>https://www.cdalgete.com</v>
      </c>
      <c r="D283" t="str">
        <v>info@cdalgete.com</v>
      </c>
      <c r="E283" t="str">
        <v>679429339</v>
      </c>
      <c r="F283" t="str">
        <v>Fútbol · RFFM</v>
      </c>
      <c r="G283" t="str">
        <v>Nuevo</v>
      </c>
      <c r="H283" t="str">
        <v/>
      </c>
      <c r="I283" t="str">
        <v/>
      </c>
      <c r="J283" t="str">
        <v>0</v>
      </c>
      <c r="K283" t="str">
        <v/>
      </c>
      <c r="L283" t="str">
        <v>Enviar Email 1</v>
      </c>
      <c r="M283" t="str">
        <v/>
      </c>
      <c r="N283" t="str">
        <v>17 equipos · Pres: NOE ACOSTA RIVERA · IG:@cdalgete</v>
      </c>
    </row>
    <row r="284">
      <c r="A284" t="str">
        <v>A.D. SPORTING SAN FERNANDO DE HENARES</v>
      </c>
      <c r="B284" t="str">
        <v>San Fernando De Henares, Madrid</v>
      </c>
      <c r="C284" t="str">
        <v>https://www.sportingsanfernandodehenares.com</v>
      </c>
      <c r="D284" t="str">
        <v>adsportingsanfernando@gmail.com</v>
      </c>
      <c r="E284" t="str">
        <v>670979111</v>
      </c>
      <c r="F284" t="str">
        <v>Fútbol · RFFM</v>
      </c>
      <c r="G284" t="str">
        <v>Nuevo</v>
      </c>
      <c r="H284" t="str">
        <v/>
      </c>
      <c r="I284" t="str">
        <v/>
      </c>
      <c r="J284" t="str">
        <v>0</v>
      </c>
      <c r="K284" t="str">
        <v/>
      </c>
      <c r="L284" t="str">
        <v>Enviar Email 1</v>
      </c>
      <c r="M284" t="str">
        <v/>
      </c>
      <c r="N284" t="str">
        <v>22 equipos · Pres: DAVID GARCIA BLANCO · FB:https://www.facebook.com/sportingsanfernandooficial · IG:https://www.instagram.com/sportingsanfe</v>
      </c>
    </row>
    <row r="285">
      <c r="A285" t="str">
        <v>CLUB FUENTELARREYNA</v>
      </c>
      <c r="B285" t="str">
        <v>Madrid, Madrid</v>
      </c>
      <c r="C285" t="str">
        <v>verificar</v>
      </c>
      <c r="D285" t="str">
        <v>infoclubfuentelarreyna@gmail.com</v>
      </c>
      <c r="E285" t="str">
        <v>647256816</v>
      </c>
      <c r="F285" t="str">
        <v>Fútbol · RFFM</v>
      </c>
      <c r="G285" t="str">
        <v>Nuevo</v>
      </c>
      <c r="H285" t="str">
        <v/>
      </c>
      <c r="I285" t="str">
        <v/>
      </c>
      <c r="J285" t="str">
        <v>0</v>
      </c>
      <c r="K285" t="str">
        <v/>
      </c>
      <c r="L285" t="str">
        <v>Enviar Email 1</v>
      </c>
      <c r="M285" t="str">
        <v/>
      </c>
      <c r="N285" t="str">
        <v>29 equipos · Pres: JOSE JAVIER ESTEBARANZ MARTIN · IG:clubfuentelarreyna</v>
      </c>
    </row>
    <row r="286">
      <c r="A286" t="str">
        <v>C.D. MAJADAHONDA AFAR-4</v>
      </c>
      <c r="B286" t="str">
        <v>Majadahonda, Madrid</v>
      </c>
      <c r="C286" t="str">
        <v>verificar</v>
      </c>
      <c r="D286" t="str">
        <v>verificar</v>
      </c>
      <c r="E286" t="str">
        <v>916384868</v>
      </c>
      <c r="F286" t="str">
        <v>Fútbol · RFFM</v>
      </c>
      <c r="G286" t="str">
        <v>Nuevo</v>
      </c>
      <c r="H286" t="str">
        <v/>
      </c>
      <c r="I286" t="str">
        <v/>
      </c>
      <c r="J286" t="str">
        <v>0</v>
      </c>
      <c r="K286" t="str">
        <v/>
      </c>
      <c r="L286" t="str">
        <v>Enviar Email 1</v>
      </c>
      <c r="M286" t="str">
        <v/>
      </c>
      <c r="N286" t="str">
        <v>1 equipos · Pres: FRANCISCO JAVIER CUBO CUBO</v>
      </c>
    </row>
    <row r="287">
      <c r="A287" t="str">
        <v>UNION 2000</v>
      </c>
      <c r="B287" t="str">
        <v>Parla, Madrid</v>
      </c>
      <c r="C287" t="str">
        <v>https://cdeunion2000@gmail.com</v>
      </c>
      <c r="D287" t="str">
        <v>cdeunion2000@gmail.com</v>
      </c>
      <c r="E287" t="str">
        <v>675086406</v>
      </c>
      <c r="F287" t="str">
        <v>Fútbol · RFFM</v>
      </c>
      <c r="G287" t="str">
        <v>Nuevo</v>
      </c>
      <c r="H287" t="str">
        <v/>
      </c>
      <c r="I287" t="str">
        <v/>
      </c>
      <c r="J287" t="str">
        <v>0</v>
      </c>
      <c r="K287" t="str">
        <v/>
      </c>
      <c r="L287" t="str">
        <v>Enviar Email 1</v>
      </c>
      <c r="M287" t="str">
        <v/>
      </c>
      <c r="N287" t="str">
        <v>18 equipos · Pres: FRANCISCO PAZ HERNANDEZ · IG:@union2000parla</v>
      </c>
    </row>
    <row r="288">
      <c r="A288" t="str">
        <v>C.D. SERRACINES</v>
      </c>
      <c r="B288" t="str">
        <v>Paracuellos De Jarama, Madrid</v>
      </c>
      <c r="C288" t="str">
        <v>verificar</v>
      </c>
      <c r="D288" t="str">
        <v>verificar</v>
      </c>
      <c r="E288" t="str">
        <v>615287797</v>
      </c>
      <c r="F288" t="str">
        <v>Fútbol · RFFM</v>
      </c>
      <c r="G288" t="str">
        <v>Nuevo</v>
      </c>
      <c r="H288" t="str">
        <v/>
      </c>
      <c r="I288" t="str">
        <v/>
      </c>
      <c r="J288" t="str">
        <v>0</v>
      </c>
      <c r="K288" t="str">
        <v/>
      </c>
      <c r="L288" t="str">
        <v>Enviar Email 1</v>
      </c>
      <c r="M288" t="str">
        <v/>
      </c>
      <c r="N288" t="str">
        <v>6 equipos · Pres: ROBERTO JUNQUERA WILSON</v>
      </c>
    </row>
    <row r="289">
      <c r="A289" t="str">
        <v>CDE RACING PARLA C.D.</v>
      </c>
      <c r="B289" t="str">
        <v>Parla, Madrid</v>
      </c>
      <c r="C289" t="str">
        <v>https://racingparlacd.ffmadrid.org</v>
      </c>
      <c r="D289" t="str">
        <v>megg975@gmail.com</v>
      </c>
      <c r="E289" t="str">
        <v>661615922</v>
      </c>
      <c r="F289" t="str">
        <v>Fútbol · RFFM</v>
      </c>
      <c r="G289" t="str">
        <v>Nuevo</v>
      </c>
      <c r="H289" t="str">
        <v/>
      </c>
      <c r="I289" t="str">
        <v/>
      </c>
      <c r="J289" t="str">
        <v>0</v>
      </c>
      <c r="K289" t="str">
        <v/>
      </c>
      <c r="L289" t="str">
        <v>Enviar Email 1</v>
      </c>
      <c r="M289" t="str">
        <v/>
      </c>
      <c r="N289" t="str">
        <v>7 equipos · Pres: MANUEL SEVILLANO GARCIA</v>
      </c>
    </row>
    <row r="290">
      <c r="A290" t="str">
        <v>C.D. ATLETICO CAÑADA ALCORCON - UNIÓN</v>
      </c>
      <c r="B290" t="str">
        <v>Alcorcón, Madrid</v>
      </c>
      <c r="C290" t="str">
        <v>https://www.atleticocanada.com</v>
      </c>
      <c r="D290" t="str">
        <v>info.unionfc@gmail.com</v>
      </c>
      <c r="E290" t="str">
        <v>675751891</v>
      </c>
      <c r="F290" t="str">
        <v>Fútbol · RFFM</v>
      </c>
      <c r="G290" t="str">
        <v>Nuevo</v>
      </c>
      <c r="H290" t="str">
        <v/>
      </c>
      <c r="I290" t="str">
        <v/>
      </c>
      <c r="J290" t="str">
        <v>0</v>
      </c>
      <c r="K290" t="str">
        <v/>
      </c>
      <c r="L290" t="str">
        <v>Enviar Email 1</v>
      </c>
      <c r="M290" t="str">
        <v/>
      </c>
      <c r="N290" t="str">
        <v>9 equipos · Pres: LUIS GARCIA ALVAREZ</v>
      </c>
    </row>
    <row r="291">
      <c r="A291" t="str">
        <v>A.D. LA PLATA-TR82</v>
      </c>
      <c r="B291" t="str">
        <v>Torrejón De Ardoz, Madrid</v>
      </c>
      <c r="C291" t="str">
        <v>http://www.adlaplata.es</v>
      </c>
      <c r="D291" t="str">
        <v>coordinacion@adlaplata.es</v>
      </c>
      <c r="E291" t="str">
        <v>699601207</v>
      </c>
      <c r="F291" t="str">
        <v>Fútbol · RFFM</v>
      </c>
      <c r="G291" t="str">
        <v>Nuevo</v>
      </c>
      <c r="H291" t="str">
        <v/>
      </c>
      <c r="I291" t="str">
        <v/>
      </c>
      <c r="J291" t="str">
        <v>0</v>
      </c>
      <c r="K291" t="str">
        <v/>
      </c>
      <c r="L291" t="str">
        <v>Enviar Email 1</v>
      </c>
      <c r="M291" t="str">
        <v/>
      </c>
      <c r="N291" t="str">
        <v>22 equipos · Pres: FRANCISCO JAVIER CASADO ROIMERO</v>
      </c>
    </row>
    <row r="292">
      <c r="A292" t="str">
        <v>UNION DEPORTIVA LA POVEDA</v>
      </c>
      <c r="B292" t="str">
        <v>Arganda Del Rey, Madrid</v>
      </c>
      <c r="C292" t="str">
        <v>https://www.udlapoveda.com</v>
      </c>
      <c r="D292" t="str">
        <v>coordinacion@udlapoveda.com</v>
      </c>
      <c r="E292" t="str">
        <v>609327374</v>
      </c>
      <c r="F292" t="str">
        <v>Fútbol · RFFM</v>
      </c>
      <c r="G292" t="str">
        <v>Nuevo</v>
      </c>
      <c r="H292" t="str">
        <v/>
      </c>
      <c r="I292" t="str">
        <v/>
      </c>
      <c r="J292" t="str">
        <v>0</v>
      </c>
      <c r="K292" t="str">
        <v/>
      </c>
      <c r="L292" t="str">
        <v>Enviar Email 1</v>
      </c>
      <c r="M292" t="str">
        <v/>
      </c>
      <c r="N292" t="str">
        <v>22 equipos · Pres: LUIS MAYOR SANTIAGO</v>
      </c>
    </row>
    <row r="293">
      <c r="A293" t="str">
        <v>C.D.E. LOS ROSALES DE VILLAVERDE</v>
      </c>
      <c r="B293" t="str">
        <v>Madrid, Madrid</v>
      </c>
      <c r="C293" t="str">
        <v>verificar</v>
      </c>
      <c r="D293" t="str">
        <v>clubdeportivorosales@hotmail.com</v>
      </c>
      <c r="E293" t="str">
        <v>635158082</v>
      </c>
      <c r="F293" t="str">
        <v>Fútbol · RFFM</v>
      </c>
      <c r="G293" t="str">
        <v>Nuevo</v>
      </c>
      <c r="H293" t="str">
        <v/>
      </c>
      <c r="I293" t="str">
        <v/>
      </c>
      <c r="J293" t="str">
        <v>0</v>
      </c>
      <c r="K293" t="str">
        <v/>
      </c>
      <c r="L293" t="str">
        <v>Enviar Email 1</v>
      </c>
      <c r="M293" t="str">
        <v/>
      </c>
      <c r="N293" t="str">
        <v>1 equipos · Pres: PEDRO GARCIA MATEOS</v>
      </c>
    </row>
    <row r="294">
      <c r="A294" t="str">
        <v>SPORTING SEIS DE DICIEMBRE</v>
      </c>
      <c r="B294" t="str">
        <v>Alcobendas, Madrid</v>
      </c>
      <c r="C294" t="str">
        <v>verificar</v>
      </c>
      <c r="D294" t="str">
        <v>sporting6dediciembre@gmail.com</v>
      </c>
      <c r="E294" t="str">
        <v>635879773</v>
      </c>
      <c r="F294" t="str">
        <v>Fútbol · RFFM</v>
      </c>
      <c r="G294" t="str">
        <v>Nuevo</v>
      </c>
      <c r="H294" t="str">
        <v/>
      </c>
      <c r="I294" t="str">
        <v/>
      </c>
      <c r="J294" t="str">
        <v>0</v>
      </c>
      <c r="K294" t="str">
        <v/>
      </c>
      <c r="L294" t="str">
        <v>Enviar Email 1</v>
      </c>
      <c r="M294" t="str">
        <v/>
      </c>
      <c r="N294" t="str">
        <v>19 equipos · Pres: ENRIQUE INIESTA MORALES</v>
      </c>
    </row>
    <row r="295">
      <c r="A295" t="str">
        <v>C.D. VILLAMANTILLA</v>
      </c>
      <c r="B295" t="str">
        <v>Villamantilla, Madrid</v>
      </c>
      <c r="C295" t="str">
        <v>https://c. d. villamantilla @outlook. es</v>
      </c>
      <c r="D295" t="str">
        <v>c.d.villamantilla@outlook.es</v>
      </c>
      <c r="E295" t="str">
        <v>629202416</v>
      </c>
      <c r="F295" t="str">
        <v>Fútbol · RFFM</v>
      </c>
      <c r="G295" t="str">
        <v>Nuevo</v>
      </c>
      <c r="H295" t="str">
        <v/>
      </c>
      <c r="I295" t="str">
        <v/>
      </c>
      <c r="J295" t="str">
        <v>0</v>
      </c>
      <c r="K295" t="str">
        <v/>
      </c>
      <c r="L295" t="str">
        <v>Enviar Email 1</v>
      </c>
      <c r="M295" t="str">
        <v/>
      </c>
      <c r="N295" t="str">
        <v>6 equipos · Pres: FRANCISCO VAQUERO LOZANO</v>
      </c>
    </row>
    <row r="296">
      <c r="A296" t="str">
        <v>ROBLEDO C.F.</v>
      </c>
      <c r="B296" t="str">
        <v>Robledo De Chavela, Madrid</v>
      </c>
      <c r="C296" t="str">
        <v>verificar</v>
      </c>
      <c r="D296" t="str">
        <v>ROBLEDOCLUBFUTBOL@GMAIL.COM</v>
      </c>
      <c r="E296" t="str">
        <v>609480020</v>
      </c>
      <c r="F296" t="str">
        <v>Fútbol · RFFM</v>
      </c>
      <c r="G296" t="str">
        <v>Nuevo</v>
      </c>
      <c r="H296" t="str">
        <v/>
      </c>
      <c r="I296" t="str">
        <v/>
      </c>
      <c r="J296" t="str">
        <v>0</v>
      </c>
      <c r="K296" t="str">
        <v/>
      </c>
      <c r="L296" t="str">
        <v>Enviar Email 1</v>
      </c>
      <c r="M296" t="str">
        <v/>
      </c>
      <c r="N296" t="str">
        <v>3 equipos · Pres: LUIS ANTONIO HERAS QUIROS · IG:instagram.com/robledoclubdefutbol/</v>
      </c>
    </row>
    <row r="297">
      <c r="A297" t="str">
        <v>C.D. ALDOVEA</v>
      </c>
      <c r="B297" t="str">
        <v>Alcobendas, Madrid</v>
      </c>
      <c r="C297" t="str">
        <v>verificar</v>
      </c>
      <c r="D297" t="str">
        <v>jvgras@gmail.com</v>
      </c>
      <c r="E297" t="str">
        <v>916500661</v>
      </c>
      <c r="F297" t="str">
        <v>Fútbol · RFFM</v>
      </c>
      <c r="G297" t="str">
        <v>Nuevo</v>
      </c>
      <c r="H297" t="str">
        <v/>
      </c>
      <c r="I297" t="str">
        <v/>
      </c>
      <c r="J297" t="str">
        <v>0</v>
      </c>
      <c r="K297" t="str">
        <v/>
      </c>
      <c r="L297" t="str">
        <v>Enviar Email 1</v>
      </c>
      <c r="M297" t="str">
        <v/>
      </c>
      <c r="N297" t="str">
        <v>13 equipos · Pres: Mª DEL VALLE RODRIGO MATEO</v>
      </c>
    </row>
    <row r="298">
      <c r="A298" t="str">
        <v>C.D. NAVAS DEL REY</v>
      </c>
      <c r="B298" t="str">
        <v>Navas Del Rey, Madrid</v>
      </c>
      <c r="C298" t="str">
        <v>verificar</v>
      </c>
      <c r="D298" t="str">
        <v>gabinetealcaldia@navasdelrey.es</v>
      </c>
      <c r="E298" t="str">
        <v>617428248</v>
      </c>
      <c r="F298" t="str">
        <v>Fútbol · RFFM</v>
      </c>
      <c r="G298" t="str">
        <v>Nuevo</v>
      </c>
      <c r="H298" t="str">
        <v/>
      </c>
      <c r="I298" t="str">
        <v/>
      </c>
      <c r="J298" t="str">
        <v>0</v>
      </c>
      <c r="K298" t="str">
        <v/>
      </c>
      <c r="L298" t="str">
        <v>Enviar Email 1</v>
      </c>
      <c r="M298" t="str">
        <v/>
      </c>
      <c r="N298" t="str">
        <v>6 equipos · Pres: JAIME PERAL PEDRERO</v>
      </c>
    </row>
    <row r="299">
      <c r="A299" t="str">
        <v>ESCUELA EUROPEA C.F.</v>
      </c>
      <c r="B299" t="str">
        <v>Madrid, Madrid</v>
      </c>
      <c r="C299" t="str">
        <v>https://escuelaeuropeadefutbol.es</v>
      </c>
      <c r="D299" t="str">
        <v>direccion@escuelaeuropeadefutbol.es</v>
      </c>
      <c r="E299" t="str">
        <v>617907148</v>
      </c>
      <c r="F299" t="str">
        <v>Fútbol · RFFM</v>
      </c>
      <c r="G299" t="str">
        <v>Nuevo</v>
      </c>
      <c r="H299" t="str">
        <v/>
      </c>
      <c r="I299" t="str">
        <v/>
      </c>
      <c r="J299" t="str">
        <v>0</v>
      </c>
      <c r="K299" t="str">
        <v/>
      </c>
      <c r="L299" t="str">
        <v>Enviar Email 1</v>
      </c>
      <c r="M299" t="str">
        <v/>
      </c>
      <c r="N299" t="str">
        <v>4 equipos · Pres: MARIO LATORRE NAVARRO</v>
      </c>
    </row>
    <row r="300">
      <c r="A300" t="str">
        <v>UDMELIDAOLIMPIA</v>
      </c>
      <c r="B300" t="str">
        <v>Madrid, Madrid</v>
      </c>
      <c r="C300" t="str">
        <v>https://www.udmelidaolimpia.com</v>
      </c>
      <c r="D300" t="str">
        <v>administracion@udmelidaolimpia.com</v>
      </c>
      <c r="E300" t="str">
        <v>644464642</v>
      </c>
      <c r="F300" t="str">
        <v>Fútbol · RFFM</v>
      </c>
      <c r="G300" t="str">
        <v>Nuevo</v>
      </c>
      <c r="H300" t="str">
        <v/>
      </c>
      <c r="I300" t="str">
        <v/>
      </c>
      <c r="J300" t="str">
        <v>0</v>
      </c>
      <c r="K300" t="str">
        <v/>
      </c>
      <c r="L300" t="str">
        <v>Enviar Email 1</v>
      </c>
      <c r="M300" t="str">
        <v/>
      </c>
      <c r="N300" t="str">
        <v>21 equipos · Pres: JOSE MIGUEL GARCIA RODRIGUEZ</v>
      </c>
    </row>
    <row r="301">
      <c r="A301" t="str">
        <v>S.A.D. A.D.C. PARQUE SURESTE</v>
      </c>
      <c r="B301" t="str">
        <v>Rivas-Vaciamadrid, Madrid</v>
      </c>
      <c r="C301" t="str">
        <v>https://www.adcparquesureste.es</v>
      </c>
      <c r="D301" t="str">
        <v>manuel_parquesureste@hotmail.com</v>
      </c>
      <c r="E301" t="str">
        <v>675452117</v>
      </c>
      <c r="F301" t="str">
        <v>Fútbol · RFFM</v>
      </c>
      <c r="G301" t="str">
        <v>Nuevo</v>
      </c>
      <c r="H301" t="str">
        <v/>
      </c>
      <c r="I301" t="str">
        <v/>
      </c>
      <c r="J301" t="str">
        <v>0</v>
      </c>
      <c r="K301" t="str">
        <v/>
      </c>
      <c r="L301" t="str">
        <v>Enviar Email 1</v>
      </c>
      <c r="M301" t="str">
        <v/>
      </c>
      <c r="N301" t="str">
        <v>32 equipos</v>
      </c>
    </row>
    <row r="302">
      <c r="A302" t="str">
        <v>CDE FUENLABRADA PROMESAS VIVERO</v>
      </c>
      <c r="B302" t="str">
        <v>Móstoles, Madrid</v>
      </c>
      <c r="C302" t="str">
        <v>verificar</v>
      </c>
      <c r="D302" t="str">
        <v>gdyotriensan@gmail.com</v>
      </c>
      <c r="E302" t="str">
        <v>664497444</v>
      </c>
      <c r="F302" t="str">
        <v>Fútbol · RFFM</v>
      </c>
      <c r="G302" t="str">
        <v>Nuevo</v>
      </c>
      <c r="H302" t="str">
        <v/>
      </c>
      <c r="I302" t="str">
        <v/>
      </c>
      <c r="J302" t="str">
        <v>0</v>
      </c>
      <c r="K302" t="str">
        <v/>
      </c>
      <c r="L302" t="str">
        <v>Enviar Email 1</v>
      </c>
      <c r="M302" t="str">
        <v/>
      </c>
      <c r="N302" t="str">
        <v>1 equipos · Pres: MANUEL ESPINAR GARCIA-DORADO</v>
      </c>
    </row>
    <row r="303">
      <c r="A303" t="str">
        <v>C.D. OLIMPICO DE HORTALEZA</v>
      </c>
      <c r="B303" t="str">
        <v>Madrid, Madrid</v>
      </c>
      <c r="C303" t="str">
        <v>https://www.cdohortaleza.com</v>
      </c>
      <c r="D303" t="str">
        <v>info@cdohortaleza.com</v>
      </c>
      <c r="E303" t="str">
        <v>618696331</v>
      </c>
      <c r="F303" t="str">
        <v>Fútbol · RFFM</v>
      </c>
      <c r="G303" t="str">
        <v>Nuevo</v>
      </c>
      <c r="H303" t="str">
        <v/>
      </c>
      <c r="I303" t="str">
        <v/>
      </c>
      <c r="J303" t="str">
        <v>0</v>
      </c>
      <c r="K303" t="str">
        <v/>
      </c>
      <c r="L303" t="str">
        <v>Enviar Email 1</v>
      </c>
      <c r="M303" t="str">
        <v/>
      </c>
      <c r="N303" t="str">
        <v>28 equipos · Pres: ROBERTO SERRANO FELIPE · FB:CDO Hortaleza · IG:cdohortaleza</v>
      </c>
    </row>
    <row r="304">
      <c r="A304" t="str">
        <v>RAYO DEL PILAR C.F.</v>
      </c>
      <c r="B304" t="str">
        <v>Madrid, Madrid</v>
      </c>
      <c r="C304" t="str">
        <v>verificar</v>
      </c>
      <c r="D304" t="str">
        <v>diegosg_88@hotmail.com</v>
      </c>
      <c r="E304" t="str">
        <v>686167567</v>
      </c>
      <c r="F304" t="str">
        <v>Fútbol · RFFM</v>
      </c>
      <c r="G304" t="str">
        <v>Nuevo</v>
      </c>
      <c r="H304" t="str">
        <v/>
      </c>
      <c r="I304" t="str">
        <v/>
      </c>
      <c r="J304" t="str">
        <v>0</v>
      </c>
      <c r="K304" t="str">
        <v/>
      </c>
      <c r="L304" t="str">
        <v>Enviar Email 1</v>
      </c>
      <c r="M304" t="str">
        <v/>
      </c>
      <c r="N304" t="str">
        <v>1 equipos · Pres: SERGIO TEJERA DE LUCAS</v>
      </c>
    </row>
    <row r="305">
      <c r="A305" t="str">
        <v>C.D. CIUDAD DE LOS ANGELES</v>
      </c>
      <c r="B305" t="str">
        <v>Madrid, Madrid</v>
      </c>
      <c r="C305" t="str">
        <v>http://www.cdciudaddelosangeles.com/</v>
      </c>
      <c r="D305" t="str">
        <v>cdciudaddelosangeles@hotmail.com</v>
      </c>
      <c r="E305" t="str">
        <v>638710026</v>
      </c>
      <c r="F305" t="str">
        <v>Fútbol · RFFM</v>
      </c>
      <c r="G305" t="str">
        <v>Nuevo</v>
      </c>
      <c r="H305" t="str">
        <v/>
      </c>
      <c r="I305" t="str">
        <v/>
      </c>
      <c r="J305" t="str">
        <v>0</v>
      </c>
      <c r="K305" t="str">
        <v/>
      </c>
      <c r="L305" t="str">
        <v>Enviar Email 1</v>
      </c>
      <c r="M305" t="str">
        <v/>
      </c>
      <c r="N305" t="str">
        <v>13 equipos · Pres: DIEGO GARCIA RODRIGUEZ</v>
      </c>
    </row>
    <row r="306">
      <c r="A306" t="str">
        <v>CDE KROMEX-FERILAN</v>
      </c>
      <c r="B306" t="str">
        <v>Madrid, Madrid</v>
      </c>
      <c r="C306" t="str">
        <v>https://www.kromexferilan.com/</v>
      </c>
      <c r="D306" t="str">
        <v>ferilancd.info@gmail.com</v>
      </c>
      <c r="E306" t="str">
        <v>639620226</v>
      </c>
      <c r="F306" t="str">
        <v>Fútbol · RFFM</v>
      </c>
      <c r="G306" t="str">
        <v>Nuevo</v>
      </c>
      <c r="H306" t="str">
        <v/>
      </c>
      <c r="I306" t="str">
        <v/>
      </c>
      <c r="J306" t="str">
        <v>0</v>
      </c>
      <c r="K306" t="str">
        <v/>
      </c>
      <c r="L306" t="str">
        <v>Enviar Email 1</v>
      </c>
      <c r="M306" t="str">
        <v/>
      </c>
      <c r="N306" t="str">
        <v>11 equipos · Pres: LUIS ENRIQUE TEBAR RUIZ · IG:kromexferilan</v>
      </c>
    </row>
    <row r="307">
      <c r="A307" t="str">
        <v>C.D. ALONSO CANO</v>
      </c>
      <c r="B307" t="str">
        <v>Madrid, Madrid</v>
      </c>
      <c r="C307" t="str">
        <v>https://jbv125@hotmail.cim</v>
      </c>
      <c r="D307" t="str">
        <v>jbv125@hotmail.com</v>
      </c>
      <c r="E307" t="str">
        <v>659917531</v>
      </c>
      <c r="F307" t="str">
        <v>Fútbol · RFFM</v>
      </c>
      <c r="G307" t="str">
        <v>Nuevo</v>
      </c>
      <c r="H307" t="str">
        <v/>
      </c>
      <c r="I307" t="str">
        <v/>
      </c>
      <c r="J307" t="str">
        <v>0</v>
      </c>
      <c r="K307" t="str">
        <v/>
      </c>
      <c r="L307" t="str">
        <v>Enviar Email 1</v>
      </c>
      <c r="M307" t="str">
        <v/>
      </c>
      <c r="N307" t="str">
        <v>1 equipos · Pres: JOSE BRAVO VILLAR</v>
      </c>
    </row>
    <row r="308">
      <c r="A308" t="str">
        <v>C.D. MIRAFLORES DE LA SIERRA</v>
      </c>
      <c r="B308" t="str">
        <v>Miraflores De La Sierra, Madrid</v>
      </c>
      <c r="C308" t="str">
        <v>https://cdmirafloresdelasierra.es/</v>
      </c>
      <c r="D308" t="str">
        <v>deportesivansanz@yahoo.es</v>
      </c>
      <c r="E308" t="str">
        <v>918443975</v>
      </c>
      <c r="F308" t="str">
        <v>Fútbol · RFFM</v>
      </c>
      <c r="G308" t="str">
        <v>Nuevo</v>
      </c>
      <c r="H308" t="str">
        <v/>
      </c>
      <c r="I308" t="str">
        <v/>
      </c>
      <c r="J308" t="str">
        <v>0</v>
      </c>
      <c r="K308" t="str">
        <v/>
      </c>
      <c r="L308" t="str">
        <v>Enviar Email 1</v>
      </c>
      <c r="M308" t="str">
        <v/>
      </c>
      <c r="N308" t="str">
        <v>12 equipos · Pres: IVAN SANZ DE LA MORENA · FB:https://www.facebook.com/cdaficionado.mirafloresdelasierra.1 · IG:https://www.instagram.com/c</v>
      </c>
    </row>
    <row r="309">
      <c r="A309" t="str">
        <v>C.D. VILLAMANTA</v>
      </c>
      <c r="B309" t="str">
        <v>Villamanta, Madrid</v>
      </c>
      <c r="C309" t="str">
        <v>verificar</v>
      </c>
      <c r="D309" t="str">
        <v>jvazquezm01@gmail.com</v>
      </c>
      <c r="E309" t="str">
        <v>629823225</v>
      </c>
      <c r="F309" t="str">
        <v>Fútbol · RFFM</v>
      </c>
      <c r="G309" t="str">
        <v>Nuevo</v>
      </c>
      <c r="H309" t="str">
        <v/>
      </c>
      <c r="I309" t="str">
        <v/>
      </c>
      <c r="J309" t="str">
        <v>0</v>
      </c>
      <c r="K309" t="str">
        <v/>
      </c>
      <c r="L309" t="str">
        <v>Enviar Email 1</v>
      </c>
      <c r="M309" t="str">
        <v/>
      </c>
      <c r="N309" t="str">
        <v>10 equipos · Pres: JOSE LUIS VAZQUEZ MARTIN</v>
      </c>
    </row>
    <row r="310">
      <c r="A310" t="str">
        <v>C.D. MOLAREÑO</v>
      </c>
      <c r="B310" t="str">
        <v>Molar (El), Madrid</v>
      </c>
      <c r="C310" t="str">
        <v>https://www.cdmolareno.com</v>
      </c>
      <c r="D310" t="str">
        <v>cdmolareno73@gmail.com</v>
      </c>
      <c r="E310" t="str">
        <v>609229586</v>
      </c>
      <c r="F310" t="str">
        <v>Fútbol · RFFM</v>
      </c>
      <c r="G310" t="str">
        <v>Nuevo</v>
      </c>
      <c r="H310" t="str">
        <v/>
      </c>
      <c r="I310" t="str">
        <v/>
      </c>
      <c r="J310" t="str">
        <v>0</v>
      </c>
      <c r="K310" t="str">
        <v/>
      </c>
      <c r="L310" t="str">
        <v>Enviar Email 1</v>
      </c>
      <c r="M310" t="str">
        <v/>
      </c>
      <c r="N310" t="str">
        <v>15 equipos · Pres: RAUL BRAVO VIDAL · FB:https://www.facebook.com/cdmolareno · IG:cdmolareno</v>
      </c>
    </row>
    <row r="311">
      <c r="A311" t="str">
        <v>C.D. PEDREZUELA</v>
      </c>
      <c r="B311" t="str">
        <v>Pedrezuela, Madrid</v>
      </c>
      <c r="C311" t="str">
        <v>https://www.cdpedrezuela.es</v>
      </c>
      <c r="D311" t="str">
        <v>info@cdpedrezuela.es</v>
      </c>
      <c r="E311" t="str">
        <v>650858696</v>
      </c>
      <c r="F311" t="str">
        <v>Fútbol · RFFM</v>
      </c>
      <c r="G311" t="str">
        <v>Nuevo</v>
      </c>
      <c r="H311" t="str">
        <v/>
      </c>
      <c r="I311" t="str">
        <v/>
      </c>
      <c r="J311" t="str">
        <v>0</v>
      </c>
      <c r="K311" t="str">
        <v/>
      </c>
      <c r="L311" t="str">
        <v>Enviar Email 1</v>
      </c>
      <c r="M311" t="str">
        <v/>
      </c>
      <c r="N311" t="str">
        <v>12 equipos · Pres: FERNANDO SANTAMARIA CHICHON · FB:https://www.facebook.com/cdpedrezuela.es/ · IG:https://www.instagram.com/cdpedrezuela/</v>
      </c>
    </row>
    <row r="312">
      <c r="A312" t="str">
        <v>C.D. MIRASUR</v>
      </c>
      <c r="B312" t="str">
        <v>Pinto, Madrid</v>
      </c>
      <c r="C312" t="str">
        <v>https://www.colegiomirasur.com</v>
      </c>
      <c r="D312" t="str">
        <v>alvarobustamante@colegiomirasur.com</v>
      </c>
      <c r="E312" t="str">
        <v>633447355</v>
      </c>
      <c r="F312" t="str">
        <v>Fútbol · RFFM</v>
      </c>
      <c r="G312" t="str">
        <v>Nuevo</v>
      </c>
      <c r="H312" t="str">
        <v/>
      </c>
      <c r="I312" t="str">
        <v/>
      </c>
      <c r="J312" t="str">
        <v>0</v>
      </c>
      <c r="K312" t="str">
        <v/>
      </c>
      <c r="L312" t="str">
        <v>Enviar Email 1</v>
      </c>
      <c r="M312" t="str">
        <v/>
      </c>
      <c r="N312" t="str">
        <v>11 equipos · Pres: IVAN GONZALEZ RUBIO</v>
      </c>
    </row>
    <row r="313">
      <c r="A313" t="str">
        <v>ESC. DE FUT. VALDEMORO</v>
      </c>
      <c r="B313" t="str">
        <v>Valdemoro, Madrid</v>
      </c>
      <c r="C313" t="str">
        <v>https://efvaldemoro.es</v>
      </c>
      <c r="D313" t="str">
        <v>direccion@efvaldemoro.es</v>
      </c>
      <c r="E313" t="str">
        <v>918085828</v>
      </c>
      <c r="F313" t="str">
        <v>Fútbol · RFFM</v>
      </c>
      <c r="G313" t="str">
        <v>Nuevo</v>
      </c>
      <c r="H313" t="str">
        <v/>
      </c>
      <c r="I313" t="str">
        <v/>
      </c>
      <c r="J313" t="str">
        <v>0</v>
      </c>
      <c r="K313" t="str">
        <v/>
      </c>
      <c r="L313" t="str">
        <v>Enviar Email 1</v>
      </c>
      <c r="M313" t="str">
        <v/>
      </c>
      <c r="N313" t="str">
        <v>45 equipos · Pres: ENRIQUE MORAGO MARTINEZ · FB:efvaldemoro.es · IG:@efvaldemoro</v>
      </c>
    </row>
    <row r="314">
      <c r="A314" t="str">
        <v>ESC.FUT. SIETE PICOS COLMENAR</v>
      </c>
      <c r="B314" t="str">
        <v>Colmenar Viejo, Madrid</v>
      </c>
      <c r="C314" t="str">
        <v>https://www.efsietepicos.com</v>
      </c>
      <c r="D314" t="str">
        <v>efsietepicos@gmail.com</v>
      </c>
      <c r="E314" t="str">
        <v>911381607</v>
      </c>
      <c r="F314" t="str">
        <v>Fútbol · RFFM</v>
      </c>
      <c r="G314" t="str">
        <v>Nuevo</v>
      </c>
      <c r="H314" t="str">
        <v/>
      </c>
      <c r="I314" t="str">
        <v/>
      </c>
      <c r="J314" t="str">
        <v>0</v>
      </c>
      <c r="K314" t="str">
        <v/>
      </c>
      <c r="L314" t="str">
        <v>Enviar Email 1</v>
      </c>
      <c r="M314" t="str">
        <v/>
      </c>
      <c r="N314" t="str">
        <v>29 equipos · Pres: JORGE GARCIA BRAVO</v>
      </c>
    </row>
    <row r="315">
      <c r="A315" t="str">
        <v>C.F. QUIJORNA</v>
      </c>
      <c r="B315" t="str">
        <v>Quijorna, Madrid</v>
      </c>
      <c r="C315" t="str">
        <v>http://www.cfquijorna.com</v>
      </c>
      <c r="D315" t="str">
        <v>administracion@cfquijorna.com</v>
      </c>
      <c r="E315" t="str">
        <v>623576090</v>
      </c>
      <c r="F315" t="str">
        <v>Fútbol · RFFM</v>
      </c>
      <c r="G315" t="str">
        <v>Nuevo</v>
      </c>
      <c r="H315" t="str">
        <v/>
      </c>
      <c r="I315" t="str">
        <v/>
      </c>
      <c r="J315" t="str">
        <v>0</v>
      </c>
      <c r="K315" t="str">
        <v/>
      </c>
      <c r="L315" t="str">
        <v>Enviar Email 1</v>
      </c>
      <c r="M315" t="str">
        <v/>
      </c>
      <c r="N315" t="str">
        <v>7 equipos · Pres: ROBERTO HUECAS SOTELINO · IG:@cf_quijorna</v>
      </c>
    </row>
    <row r="316">
      <c r="A316" t="str">
        <v>EE PP SAN FERNANDO ESCOLAPIOS POZUELO</v>
      </c>
      <c r="B316" t="str">
        <v>Pozuelo De Alarcón, Madrid</v>
      </c>
      <c r="C316" t="str">
        <v>verificar</v>
      </c>
      <c r="D316" t="str">
        <v>futbol@ociosportconsulting.com</v>
      </c>
      <c r="E316" t="str">
        <v>647996563</v>
      </c>
      <c r="F316" t="str">
        <v>Fútbol · RFFM</v>
      </c>
      <c r="G316" t="str">
        <v>Nuevo</v>
      </c>
      <c r="H316" t="str">
        <v/>
      </c>
      <c r="I316" t="str">
        <v/>
      </c>
      <c r="J316" t="str">
        <v>0</v>
      </c>
      <c r="K316" t="str">
        <v/>
      </c>
      <c r="L316" t="str">
        <v>Enviar Email 1</v>
      </c>
      <c r="M316" t="str">
        <v/>
      </c>
      <c r="N316" t="str">
        <v>22 equipos · Pres: FERNANDO CALVO ALFONSO</v>
      </c>
    </row>
    <row r="317">
      <c r="A317" t="str">
        <v>C.D. MUNICIPAL ARROYOMOLINOS</v>
      </c>
      <c r="B317" t="str">
        <v>Arroyomolinos, Madrid</v>
      </c>
      <c r="C317" t="str">
        <v>verificar</v>
      </c>
      <c r="D317" t="str">
        <v>escuela.futbol@ayto-arroyomolinos.org</v>
      </c>
      <c r="E317" t="str">
        <v>916899080</v>
      </c>
      <c r="F317" t="str">
        <v>Fútbol · RFFM</v>
      </c>
      <c r="G317" t="str">
        <v>Nuevo</v>
      </c>
      <c r="H317" t="str">
        <v/>
      </c>
      <c r="I317" t="str">
        <v/>
      </c>
      <c r="J317" t="str">
        <v>0</v>
      </c>
      <c r="K317" t="str">
        <v/>
      </c>
      <c r="L317" t="str">
        <v>Enviar Email 1</v>
      </c>
      <c r="M317" t="str">
        <v/>
      </c>
      <c r="N317" t="str">
        <v>47 equipos · Pres: LUIS QUIROGA TOLEDO</v>
      </c>
    </row>
    <row r="318">
      <c r="A318" t="str">
        <v>ESCUELA FUT. FEMENINO ALCOBENDAS</v>
      </c>
      <c r="B318" t="str">
        <v>Alcobendas, Madrid</v>
      </c>
      <c r="C318" t="str">
        <v>https://www.effa.es</v>
      </c>
      <c r="D318" t="str">
        <v>effa@effa.es</v>
      </c>
      <c r="E318" t="str">
        <v>656579786</v>
      </c>
      <c r="F318" t="str">
        <v>Fútbol · RFFM</v>
      </c>
      <c r="G318" t="str">
        <v>Nuevo</v>
      </c>
      <c r="H318" t="str">
        <v/>
      </c>
      <c r="I318" t="str">
        <v/>
      </c>
      <c r="J318" t="str">
        <v>0</v>
      </c>
      <c r="K318" t="str">
        <v/>
      </c>
      <c r="L318" t="str">
        <v>Enviar Email 1</v>
      </c>
      <c r="M318" t="str">
        <v/>
      </c>
      <c r="N318" t="str">
        <v>13 equipos · Pres: MARIA MARTIN MENDEZ · FB:Fútbol Femenino Alcobendas · IG:effalcobendas</v>
      </c>
    </row>
    <row r="319">
      <c r="A319" t="str">
        <v>S.A.D. ARC MARIANISTAS AMOROS</v>
      </c>
      <c r="B319" t="str">
        <v>Madrid, Madrid</v>
      </c>
      <c r="C319" t="str">
        <v>https://futbolamoros.wordpress.com</v>
      </c>
      <c r="D319" t="str">
        <v>sergio.suarez@colegioamoros.org</v>
      </c>
      <c r="E319" t="str">
        <v>915111130</v>
      </c>
      <c r="F319" t="str">
        <v>Fútbol · RFFM</v>
      </c>
      <c r="G319" t="str">
        <v>Nuevo</v>
      </c>
      <c r="H319" t="str">
        <v/>
      </c>
      <c r="I319" t="str">
        <v/>
      </c>
      <c r="J319" t="str">
        <v>0</v>
      </c>
      <c r="K319" t="str">
        <v/>
      </c>
      <c r="L319" t="str">
        <v>Enviar Email 1</v>
      </c>
      <c r="M319" t="str">
        <v/>
      </c>
      <c r="N319" t="str">
        <v>18 equipos · Pres: JOSE JAVIER SUAREZ MANZANO</v>
      </c>
    </row>
    <row r="320">
      <c r="A320" t="str">
        <v>ESCUELA FUTBOL MADRID SUR</v>
      </c>
      <c r="B320" t="str">
        <v>Madrid, Madrid</v>
      </c>
      <c r="C320" t="str">
        <v>https://EFMADRIDSUR.COM</v>
      </c>
      <c r="D320" t="str">
        <v>club@efmadridsur.com</v>
      </c>
      <c r="E320" t="str">
        <v>637735200</v>
      </c>
      <c r="F320" t="str">
        <v>Fútbol · RFFM</v>
      </c>
      <c r="G320" t="str">
        <v>Nuevo</v>
      </c>
      <c r="H320" t="str">
        <v/>
      </c>
      <c r="I320" t="str">
        <v/>
      </c>
      <c r="J320" t="str">
        <v>0</v>
      </c>
      <c r="K320" t="str">
        <v/>
      </c>
      <c r="L320" t="str">
        <v>Enviar Email 1</v>
      </c>
      <c r="M320" t="str">
        <v/>
      </c>
      <c r="N320" t="str">
        <v>18 equipos · Pres: ANA ISABEL PARIS HERMANA</v>
      </c>
    </row>
    <row r="321">
      <c r="A321" t="str">
        <v>CDE F.S. JUVENTUD PARLA</v>
      </c>
      <c r="B321" t="str">
        <v>Parla, Madrid</v>
      </c>
      <c r="C321" t="str">
        <v>verificar</v>
      </c>
      <c r="D321" t="str">
        <v>clubjuventudparla@gmail.com</v>
      </c>
      <c r="E321" t="str">
        <v>650707622</v>
      </c>
      <c r="F321" t="str">
        <v>Fútbol · RFFM</v>
      </c>
      <c r="G321" t="str">
        <v>Nuevo</v>
      </c>
      <c r="H321" t="str">
        <v/>
      </c>
      <c r="I321" t="str">
        <v/>
      </c>
      <c r="J321" t="str">
        <v>0</v>
      </c>
      <c r="K321" t="str">
        <v/>
      </c>
      <c r="L321" t="str">
        <v>Enviar Email 1</v>
      </c>
      <c r="M321" t="str">
        <v/>
      </c>
      <c r="N321" t="str">
        <v>23 equipos · Pres: IVAN DIAZ GATA</v>
      </c>
    </row>
    <row r="322">
      <c r="A322" t="str">
        <v>A.D. EL REAL DE MANZANARES</v>
      </c>
      <c r="B322" t="str">
        <v>Manzanares El Real, Madrid</v>
      </c>
      <c r="C322" t="str">
        <v>verificar</v>
      </c>
      <c r="D322" t="str">
        <v>elrealdemanzanaresad@gmail.com</v>
      </c>
      <c r="E322" t="str">
        <v>609675801</v>
      </c>
      <c r="F322" t="str">
        <v>Fútbol · RFFM</v>
      </c>
      <c r="G322" t="str">
        <v>Nuevo</v>
      </c>
      <c r="H322" t="str">
        <v/>
      </c>
      <c r="I322" t="str">
        <v/>
      </c>
      <c r="J322" t="str">
        <v>0</v>
      </c>
      <c r="K322" t="str">
        <v/>
      </c>
      <c r="L322" t="str">
        <v>Enviar Email 1</v>
      </c>
      <c r="M322" t="str">
        <v/>
      </c>
      <c r="N322" t="str">
        <v>21 equipos · Pres: MARIO GARCIA PICADO</v>
      </c>
    </row>
    <row r="323">
      <c r="A323" t="str">
        <v>A.D. CADALSO</v>
      </c>
      <c r="B323" t="str">
        <v>Cadalso De Los Vidrios, Madrid</v>
      </c>
      <c r="C323" t="str">
        <v>https://www.Adcadalso.com</v>
      </c>
      <c r="D323" t="str">
        <v>castrejonlopezv@gmail.com</v>
      </c>
      <c r="E323" t="str">
        <v>696511588</v>
      </c>
      <c r="F323" t="str">
        <v>Fútbol · RFFM</v>
      </c>
      <c r="G323" t="str">
        <v>Nuevo</v>
      </c>
      <c r="H323" t="str">
        <v/>
      </c>
      <c r="I323" t="str">
        <v/>
      </c>
      <c r="J323" t="str">
        <v>0</v>
      </c>
      <c r="K323" t="str">
        <v/>
      </c>
      <c r="L323" t="str">
        <v>Enviar Email 1</v>
      </c>
      <c r="M323" t="str">
        <v/>
      </c>
      <c r="N323" t="str">
        <v>12 equipos · Pres: ENRIQUE MIÑANO ALVAREZ</v>
      </c>
    </row>
    <row r="324">
      <c r="A324" t="str">
        <v>C.D. ORCASUR SIN FRONTERAS</v>
      </c>
      <c r="B324" t="str">
        <v>Madrid, Madrid</v>
      </c>
      <c r="C324" t="str">
        <v>https://www.cdorcasursinfronteras.com</v>
      </c>
      <c r="D324" t="str">
        <v>EDGARSILVAORCASURSINFRONTERAS@GMAIL.COM</v>
      </c>
      <c r="E324" t="str">
        <v>699612296</v>
      </c>
      <c r="F324" t="str">
        <v>Fútbol · RFFM</v>
      </c>
      <c r="G324" t="str">
        <v>Nuevo</v>
      </c>
      <c r="H324" t="str">
        <v/>
      </c>
      <c r="I324" t="str">
        <v/>
      </c>
      <c r="J324" t="str">
        <v>0</v>
      </c>
      <c r="K324" t="str">
        <v/>
      </c>
      <c r="L324" t="str">
        <v>Enviar Email 1</v>
      </c>
      <c r="M324" t="str">
        <v/>
      </c>
      <c r="N324" t="str">
        <v>7 equipos · Pres: EDGAR SILVA REYES · FB:www.facebook.com/Orcasursinfronteras/ · IG:@CDORCASUR</v>
      </c>
    </row>
    <row r="325">
      <c r="A325" t="str">
        <v>C.F. RAYO ENSANCHE</v>
      </c>
      <c r="B325" t="str">
        <v>Alcalá De Henares, Madrid</v>
      </c>
      <c r="C325" t="str">
        <v>verificar</v>
      </c>
      <c r="D325" t="str">
        <v>info@rayoensanche.com</v>
      </c>
      <c r="E325" t="str">
        <v>910260099</v>
      </c>
      <c r="F325" t="str">
        <v>Fútbol · RFFM</v>
      </c>
      <c r="G325" t="str">
        <v>Nuevo</v>
      </c>
      <c r="H325" t="str">
        <v/>
      </c>
      <c r="I325" t="str">
        <v/>
      </c>
      <c r="J325" t="str">
        <v>0</v>
      </c>
      <c r="K325" t="str">
        <v/>
      </c>
      <c r="L325" t="str">
        <v>Enviar Email 1</v>
      </c>
      <c r="M325" t="str">
        <v/>
      </c>
      <c r="N325" t="str">
        <v>13 equipos · Pres: GEMA FELIX GAVILAN</v>
      </c>
    </row>
    <row r="326">
      <c r="A326" t="str">
        <v>C.D. TRIVEMA NAVAL</v>
      </c>
      <c r="B326" t="str">
        <v>Madrid, Madrid</v>
      </c>
      <c r="C326" t="str">
        <v>https://www.trivemanaval.es</v>
      </c>
      <c r="D326" t="str">
        <v>trivemanaval@hotmail.com</v>
      </c>
      <c r="E326" t="str">
        <v>606754904</v>
      </c>
      <c r="F326" t="str">
        <v>Fútbol · RFFM</v>
      </c>
      <c r="G326" t="str">
        <v>Nuevo</v>
      </c>
      <c r="H326" t="str">
        <v/>
      </c>
      <c r="I326" t="str">
        <v/>
      </c>
      <c r="J326" t="str">
        <v>0</v>
      </c>
      <c r="K326" t="str">
        <v/>
      </c>
      <c r="L326" t="str">
        <v>Enviar Email 1</v>
      </c>
      <c r="M326" t="str">
        <v/>
      </c>
      <c r="N326" t="str">
        <v>14 equipos · Pres: MIGUEL TOROLLO ARROYO</v>
      </c>
    </row>
    <row r="327">
      <c r="A327" t="str">
        <v>SESEÑA C.F.</v>
      </c>
      <c r="B327" t="str">
        <v>Aranjuez, Madrid</v>
      </c>
      <c r="C327" t="str">
        <v>https://www.sesenacf.com</v>
      </c>
      <c r="D327" t="str">
        <v>sesenacf@sesenacf.com</v>
      </c>
      <c r="E327" t="str">
        <v>607394604</v>
      </c>
      <c r="F327" t="str">
        <v>Fútbol · RFFM</v>
      </c>
      <c r="G327" t="str">
        <v>Nuevo</v>
      </c>
      <c r="H327" t="str">
        <v/>
      </c>
      <c r="I327" t="str">
        <v/>
      </c>
      <c r="J327" t="str">
        <v>0</v>
      </c>
      <c r="K327" t="str">
        <v/>
      </c>
      <c r="L327" t="str">
        <v>Enviar Email 1</v>
      </c>
      <c r="M327" t="str">
        <v/>
      </c>
      <c r="N327" t="str">
        <v>38 equipos · Pres: JOSE FRANCISCO BUENO SANTOS-GARCIA</v>
      </c>
    </row>
    <row r="328">
      <c r="A328" t="str">
        <v>MOSTOLES C.F.</v>
      </c>
      <c r="B328" t="str">
        <v>Móstoles, Madrid</v>
      </c>
      <c r="C328" t="str">
        <v>https://mostolesclubdefutbol@gmail.com</v>
      </c>
      <c r="D328" t="str">
        <v>mostolesclubdefutbol@gmail.com</v>
      </c>
      <c r="E328" t="str">
        <v>670471843</v>
      </c>
      <c r="F328" t="str">
        <v>Fútbol · RFFM</v>
      </c>
      <c r="G328" t="str">
        <v>Nuevo</v>
      </c>
      <c r="H328" t="str">
        <v/>
      </c>
      <c r="I328" t="str">
        <v/>
      </c>
      <c r="J328" t="str">
        <v>0</v>
      </c>
      <c r="K328" t="str">
        <v/>
      </c>
      <c r="L328" t="str">
        <v>Enviar Email 1</v>
      </c>
      <c r="M328" t="str">
        <v/>
      </c>
      <c r="N328" t="str">
        <v>26 equipos · Pres: ANTONIO GOMEZ MANRIQUE · IG:mostolescf_oficial</v>
      </c>
    </row>
    <row r="329">
      <c r="A329" t="str">
        <v>CLUB LAS ENCINAS DE BOADILLA</v>
      </c>
      <c r="B329" t="str">
        <v>Boadilla Del Monte, Madrid</v>
      </c>
      <c r="C329" t="str">
        <v>https://www.clublasencinas.com</v>
      </c>
      <c r="D329" t="str">
        <v>escuelafutbol@clublasencinas.com</v>
      </c>
      <c r="E329" t="str">
        <v>916331100</v>
      </c>
      <c r="F329" t="str">
        <v>Fútbol · RFFM</v>
      </c>
      <c r="G329" t="str">
        <v>Nuevo</v>
      </c>
      <c r="H329" t="str">
        <v/>
      </c>
      <c r="I329" t="str">
        <v/>
      </c>
      <c r="J329" t="str">
        <v>0</v>
      </c>
      <c r="K329" t="str">
        <v/>
      </c>
      <c r="L329" t="str">
        <v>Enviar Email 1</v>
      </c>
      <c r="M329" t="str">
        <v/>
      </c>
      <c r="N329" t="str">
        <v>1 equipos · Pres: AGUSTIN RODRIGUEZ MARCOS</v>
      </c>
    </row>
    <row r="330">
      <c r="A330" t="str">
        <v>ESC. FUT. ESTUDIANTES ALCORCON</v>
      </c>
      <c r="B330" t="str">
        <v>Alcorcón, Madrid</v>
      </c>
      <c r="C330" t="str">
        <v>https://www.escuelafutbolestudiantes.es</v>
      </c>
      <c r="D330" t="str">
        <v>e.f.estudiantes@hotmail.com</v>
      </c>
      <c r="E330" t="str">
        <v>654545951</v>
      </c>
      <c r="F330" t="str">
        <v>Fútbol · RFFM</v>
      </c>
      <c r="G330" t="str">
        <v>Nuevo</v>
      </c>
      <c r="H330" t="str">
        <v/>
      </c>
      <c r="I330" t="str">
        <v/>
      </c>
      <c r="J330" t="str">
        <v>0</v>
      </c>
      <c r="K330" t="str">
        <v/>
      </c>
      <c r="L330" t="str">
        <v>Enviar Email 1</v>
      </c>
      <c r="M330" t="str">
        <v/>
      </c>
      <c r="N330" t="str">
        <v>36 equipos · Pres: SALVADOR AVINZANO TRIGO</v>
      </c>
    </row>
    <row r="331">
      <c r="A331" t="str">
        <v>ASOCIACION CULTURAL Y DEPORTIVA FATIMA</v>
      </c>
      <c r="B331" t="str">
        <v>Madrid, Madrid</v>
      </c>
      <c r="C331" t="str">
        <v>https://www.acdfatima.com</v>
      </c>
      <c r="D331" t="str">
        <v>acdfatima2006@gmail.com</v>
      </c>
      <c r="E331" t="str">
        <v>608264672</v>
      </c>
      <c r="F331" t="str">
        <v>Fútbol · RFFM</v>
      </c>
      <c r="G331" t="str">
        <v>Nuevo</v>
      </c>
      <c r="H331" t="str">
        <v/>
      </c>
      <c r="I331" t="str">
        <v/>
      </c>
      <c r="J331" t="str">
        <v>0</v>
      </c>
      <c r="K331" t="str">
        <v/>
      </c>
      <c r="L331" t="str">
        <v>Enviar Email 1</v>
      </c>
      <c r="M331" t="str">
        <v/>
      </c>
      <c r="N331" t="str">
        <v>14 equipos · Pres: PATRICIA TIJERA VELASCO · IG:@acdfatima86</v>
      </c>
    </row>
    <row r="332">
      <c r="A332" t="str">
        <v>S.A.D. ESPARTALES SUR</v>
      </c>
      <c r="B332" t="str">
        <v>Alcalá De Henares, Madrid</v>
      </c>
      <c r="C332" t="str">
        <v>https://sad.espartales.org/2020/</v>
      </c>
      <c r="D332" t="str">
        <v>deportes@espartales.org</v>
      </c>
      <c r="E332" t="str">
        <v>626892686</v>
      </c>
      <c r="F332" t="str">
        <v>Fútbol · RFFM</v>
      </c>
      <c r="G332" t="str">
        <v>Nuevo</v>
      </c>
      <c r="H332" t="str">
        <v/>
      </c>
      <c r="I332" t="str">
        <v/>
      </c>
      <c r="J332" t="str">
        <v>0</v>
      </c>
      <c r="K332" t="str">
        <v/>
      </c>
      <c r="L332" t="str">
        <v>Enviar Email 1</v>
      </c>
      <c r="M332" t="str">
        <v/>
      </c>
      <c r="N332" t="str">
        <v>20 equipos · Pres: JUAN JOSE MANZANARES LOSADA · FB:sad.av.espartales.sur · IG:SAD_Espartales</v>
      </c>
    </row>
    <row r="333">
      <c r="A333" t="str">
        <v>S.A.D. A.V. CASERIO PERALES</v>
      </c>
      <c r="B333" t="str">
        <v>Getafe, Madrid</v>
      </c>
      <c r="C333" t="str">
        <v>https://avcaserioperales.org</v>
      </c>
      <c r="D333" t="str">
        <v>caserio@telefonica.net</v>
      </c>
      <c r="E333" t="str">
        <v>916848873</v>
      </c>
      <c r="F333" t="str">
        <v>Fútbol · RFFM</v>
      </c>
      <c r="G333" t="str">
        <v>Nuevo</v>
      </c>
      <c r="H333" t="str">
        <v/>
      </c>
      <c r="I333" t="str">
        <v/>
      </c>
      <c r="J333" t="str">
        <v>0</v>
      </c>
      <c r="K333" t="str">
        <v/>
      </c>
      <c r="L333" t="str">
        <v>Enviar Email 1</v>
      </c>
      <c r="M333" t="str">
        <v/>
      </c>
      <c r="N333" t="str">
        <v>12 equipos · Pres: FRANCISCO JAVIER CORREDOR LOPEZ · FB:https://www.facebook.com/avcaserioperales/ · IG:@avvcaserioperales</v>
      </c>
    </row>
    <row r="334">
      <c r="A334" t="str">
        <v>S.A.D. ALTAMIRA (BAJA TEMP 2025-2026)</v>
      </c>
      <c r="B334" t="str">
        <v>Madrid, Madrid</v>
      </c>
      <c r="C334" t="str">
        <v>verificar</v>
      </c>
      <c r="D334" t="str">
        <v>paserher@gmail.com</v>
      </c>
      <c r="E334" t="str">
        <v>626663917</v>
      </c>
      <c r="F334" t="str">
        <v>Fútbol · RFFM</v>
      </c>
      <c r="G334" t="str">
        <v>Nuevo</v>
      </c>
      <c r="H334" t="str">
        <v/>
      </c>
      <c r="I334" t="str">
        <v/>
      </c>
      <c r="J334" t="str">
        <v>0</v>
      </c>
      <c r="K334" t="str">
        <v/>
      </c>
      <c r="L334" t="str">
        <v>Enviar Email 1</v>
      </c>
      <c r="M334" t="str">
        <v/>
      </c>
      <c r="N334" t="str">
        <v>- equipos · Pres: ALVARO GALINDO JIMENEZ</v>
      </c>
    </row>
    <row r="335">
      <c r="A335" t="str">
        <v>CLUB CIUDAD HENARES</v>
      </c>
      <c r="B335" t="str">
        <v>Alcalá De Henares, Madrid</v>
      </c>
      <c r="C335" t="str">
        <v>https://www.ciudadhenares.com</v>
      </c>
      <c r="D335" t="str">
        <v>clubciudadhenares@hotmail.com</v>
      </c>
      <c r="E335" t="str">
        <v>669606221</v>
      </c>
      <c r="F335" t="str">
        <v>Fútbol · RFFM</v>
      </c>
      <c r="G335" t="str">
        <v>Nuevo</v>
      </c>
      <c r="H335" t="str">
        <v/>
      </c>
      <c r="I335" t="str">
        <v/>
      </c>
      <c r="J335" t="str">
        <v>0</v>
      </c>
      <c r="K335" t="str">
        <v/>
      </c>
      <c r="L335" t="str">
        <v>Enviar Email 1</v>
      </c>
      <c r="M335" t="str">
        <v/>
      </c>
      <c r="N335" t="str">
        <v>10 equipos · Pres: ANGEL LUIS GUTIERREZ MORRO</v>
      </c>
    </row>
    <row r="336">
      <c r="A336" t="str">
        <v>C.D. PUERTA DE MADRID</v>
      </c>
      <c r="B336" t="str">
        <v>Majadahonda, Madrid</v>
      </c>
      <c r="C336" t="str">
        <v>https://www.cdpuertademadrid.com</v>
      </c>
      <c r="D336" t="str">
        <v>info@cdpuertademadrid.com</v>
      </c>
      <c r="E336" t="str">
        <v>669117944</v>
      </c>
      <c r="F336" t="str">
        <v>Fútbol · RFFM</v>
      </c>
      <c r="G336" t="str">
        <v>Nuevo</v>
      </c>
      <c r="H336" t="str">
        <v/>
      </c>
      <c r="I336" t="str">
        <v/>
      </c>
      <c r="J336" t="str">
        <v>0</v>
      </c>
      <c r="K336" t="str">
        <v/>
      </c>
      <c r="L336" t="str">
        <v>Enviar Email 1</v>
      </c>
      <c r="M336" t="str">
        <v/>
      </c>
      <c r="N336" t="str">
        <v>34 equipos · Pres: ANDRES FUENTES GARCIA · FB:C.D. Puerta de Madrid · IG:@cdpdm</v>
      </c>
    </row>
    <row r="337">
      <c r="A337" t="str">
        <v>C.D.E. RACING DE MORATALAZ</v>
      </c>
      <c r="B337" t="str">
        <v>Madrid, Madrid</v>
      </c>
      <c r="C337" t="str">
        <v>verificar</v>
      </c>
      <c r="D337" t="str">
        <v>brunocardona@telefonica.net</v>
      </c>
      <c r="E337" t="str">
        <v>630331489</v>
      </c>
      <c r="F337" t="str">
        <v>Fútbol · RFFM</v>
      </c>
      <c r="G337" t="str">
        <v>Nuevo</v>
      </c>
      <c r="H337" t="str">
        <v/>
      </c>
      <c r="I337" t="str">
        <v/>
      </c>
      <c r="J337" t="str">
        <v>0</v>
      </c>
      <c r="K337" t="str">
        <v/>
      </c>
      <c r="L337" t="str">
        <v>Enviar Email 1</v>
      </c>
      <c r="M337" t="str">
        <v/>
      </c>
      <c r="N337" t="str">
        <v>1 equipos · Pres: BRUNO CARDONA RODRIGUEZ</v>
      </c>
    </row>
    <row r="338">
      <c r="A338" t="str">
        <v>CLUB ALAMEDA DE OSUNA</v>
      </c>
      <c r="B338" t="str">
        <v>Madrid, Madrid</v>
      </c>
      <c r="C338" t="str">
        <v>https://www.colegio-alameda.com</v>
      </c>
      <c r="D338" t="str">
        <v>futbol@colegio-alameda.com</v>
      </c>
      <c r="E338" t="str">
        <v>677403337</v>
      </c>
      <c r="F338" t="str">
        <v>Fútbol · RFFM</v>
      </c>
      <c r="G338" t="str">
        <v>Nuevo</v>
      </c>
      <c r="H338" t="str">
        <v/>
      </c>
      <c r="I338" t="str">
        <v/>
      </c>
      <c r="J338" t="str">
        <v>0</v>
      </c>
      <c r="K338" t="str">
        <v/>
      </c>
      <c r="L338" t="str">
        <v>Enviar Email 1</v>
      </c>
      <c r="M338" t="str">
        <v/>
      </c>
      <c r="N338" t="str">
        <v>18 equipos · Pres: ROSA Mª GARCIA ALVAREZ</v>
      </c>
    </row>
    <row r="339">
      <c r="A339" t="str">
        <v>S.A.D. FUNDACION RAYO VALLECANO</v>
      </c>
      <c r="B339" t="str">
        <v>Madrid, Madrid</v>
      </c>
      <c r="C339" t="str">
        <v>https://escuelafrv.fundacionrayovallecano.es</v>
      </c>
      <c r="D339" t="str">
        <v>secretaria@fundacionrayovallecano.es</v>
      </c>
      <c r="E339" t="str">
        <v>917570551</v>
      </c>
      <c r="F339" t="str">
        <v>Fútbol · RFFM</v>
      </c>
      <c r="G339" t="str">
        <v>Nuevo</v>
      </c>
      <c r="H339" t="str">
        <v/>
      </c>
      <c r="I339" t="str">
        <v/>
      </c>
      <c r="J339" t="str">
        <v>0</v>
      </c>
      <c r="K339" t="str">
        <v/>
      </c>
      <c r="L339" t="str">
        <v>Enviar Email 1</v>
      </c>
      <c r="M339" t="str">
        <v/>
      </c>
      <c r="N339" t="str">
        <v>86 equipos</v>
      </c>
    </row>
    <row r="340">
      <c r="A340" t="str">
        <v>RECREATIVO CULTURAL NUEVO BERCIAL</v>
      </c>
      <c r="B340" t="str">
        <v>Getafe, Madrid</v>
      </c>
      <c r="C340" t="str">
        <v>verificar</v>
      </c>
      <c r="D340" t="str">
        <v>rcnb.sergio@gmail.com</v>
      </c>
      <c r="E340" t="str">
        <v>654018027</v>
      </c>
      <c r="F340" t="str">
        <v>Fútbol · RFFM</v>
      </c>
      <c r="G340" t="str">
        <v>Nuevo</v>
      </c>
      <c r="H340" t="str">
        <v/>
      </c>
      <c r="I340" t="str">
        <v/>
      </c>
      <c r="J340" t="str">
        <v>0</v>
      </c>
      <c r="K340" t="str">
        <v/>
      </c>
      <c r="L340" t="str">
        <v>Enviar Email 1</v>
      </c>
      <c r="M340" t="str">
        <v/>
      </c>
      <c r="N340" t="str">
        <v>11 equipos · Pres: SERGIO GOMEZ MENCIA · FB:Recreativo Bercial · IG:@rcnbercial</v>
      </c>
    </row>
    <row r="341">
      <c r="A341" t="str">
        <v>ESCUELA MUNICIPAL DE COBEÑA</v>
      </c>
      <c r="B341" t="str">
        <v>Cobeña, Madrid</v>
      </c>
      <c r="C341" t="str">
        <v>https://www.emfcobeña.com</v>
      </c>
      <c r="D341" t="str">
        <v>efcobena@gmail.com</v>
      </c>
      <c r="E341" t="str">
        <v>669715002</v>
      </c>
      <c r="F341" t="str">
        <v>Fútbol · RFFM</v>
      </c>
      <c r="G341" t="str">
        <v>Nuevo</v>
      </c>
      <c r="H341" t="str">
        <v/>
      </c>
      <c r="I341" t="str">
        <v/>
      </c>
      <c r="J341" t="str">
        <v>0</v>
      </c>
      <c r="K341" t="str">
        <v/>
      </c>
      <c r="L341" t="str">
        <v>Enviar Email 1</v>
      </c>
      <c r="M341" t="str">
        <v/>
      </c>
      <c r="N341" t="str">
        <v>27 equipos · Pres: FRANCISCO JAVIER CUENCA ACEVEDO · FB:https://www.facebook.com/EMFCDCobena  · IG:@emfcobena</v>
      </c>
    </row>
    <row r="342">
      <c r="A342" t="str">
        <v>C.D. CHAMARTIN VERGARA</v>
      </c>
      <c r="B342" t="str">
        <v>Madrid, Madrid</v>
      </c>
      <c r="C342" t="str">
        <v>https://www.chv1995.es</v>
      </c>
      <c r="D342" t="str">
        <v>admin@chv1995.es</v>
      </c>
      <c r="E342" t="str">
        <v>913866256</v>
      </c>
      <c r="F342" t="str">
        <v>Fútbol · RFFM</v>
      </c>
      <c r="G342" t="str">
        <v>Nuevo</v>
      </c>
      <c r="H342" t="str">
        <v/>
      </c>
      <c r="I342" t="str">
        <v/>
      </c>
      <c r="J342" t="str">
        <v>0</v>
      </c>
      <c r="K342" t="str">
        <v/>
      </c>
      <c r="L342" t="str">
        <v>Enviar Email 1</v>
      </c>
      <c r="M342" t="str">
        <v/>
      </c>
      <c r="N342" t="str">
        <v>26 equipos · Pres: GRACIELA MARTINEZ PEREZ</v>
      </c>
    </row>
    <row r="343">
      <c r="A343" t="str">
        <v>S.A.D. LICEO EUROPEO</v>
      </c>
      <c r="B343" t="str">
        <v>Alcobendas, Madrid</v>
      </c>
      <c r="C343" t="str">
        <v>https://www.liceo-europeo.es</v>
      </c>
      <c r="D343" t="str">
        <v>deportes@liceo-europeo.edu.es</v>
      </c>
      <c r="E343" t="str">
        <v>699320278</v>
      </c>
      <c r="F343" t="str">
        <v>Fútbol · RFFM</v>
      </c>
      <c r="G343" t="str">
        <v>Nuevo</v>
      </c>
      <c r="H343" t="str">
        <v/>
      </c>
      <c r="I343" t="str">
        <v/>
      </c>
      <c r="J343" t="str">
        <v>0</v>
      </c>
      <c r="K343" t="str">
        <v/>
      </c>
      <c r="L343" t="str">
        <v>Enviar Email 1</v>
      </c>
      <c r="M343" t="str">
        <v/>
      </c>
      <c r="N343" t="str">
        <v>18 equipos · Pres: NATALIA INCLAN CAMPO (DELEGADA)</v>
      </c>
    </row>
    <row r="344">
      <c r="A344" t="str">
        <v>C.D. CELMIG</v>
      </c>
      <c r="B344" t="str">
        <v>Alcorcón, Madrid</v>
      </c>
      <c r="C344" t="str">
        <v>verificar</v>
      </c>
      <c r="D344" t="str">
        <v>miguelcelmig@hotmail.es</v>
      </c>
      <c r="E344" t="str">
        <v>655968680</v>
      </c>
      <c r="F344" t="str">
        <v>Fútbol · RFFM</v>
      </c>
      <c r="G344" t="str">
        <v>Nuevo</v>
      </c>
      <c r="H344" t="str">
        <v/>
      </c>
      <c r="I344" t="str">
        <v/>
      </c>
      <c r="J344" t="str">
        <v>0</v>
      </c>
      <c r="K344" t="str">
        <v/>
      </c>
      <c r="L344" t="str">
        <v>Enviar Email 1</v>
      </c>
      <c r="M344" t="str">
        <v/>
      </c>
      <c r="N344" t="str">
        <v>3 equipos · Pres: MIGUEL ANGEL HERRAIZ SEGURA</v>
      </c>
    </row>
    <row r="345">
      <c r="A345" t="str">
        <v>AGRUPACION FUTSALA CHINCHON</v>
      </c>
      <c r="B345" t="str">
        <v>Chinchón, Madrid</v>
      </c>
      <c r="C345" t="str">
        <v>https://fschinchon.ffmadrid.org</v>
      </c>
      <c r="D345" t="str">
        <v>yite.3@hotmail.com</v>
      </c>
      <c r="E345" t="str">
        <v>636269214</v>
      </c>
      <c r="F345" t="str">
        <v>Fútbol · RFFM</v>
      </c>
      <c r="G345" t="str">
        <v>Nuevo</v>
      </c>
      <c r="H345" t="str">
        <v/>
      </c>
      <c r="I345" t="str">
        <v/>
      </c>
      <c r="J345" t="str">
        <v>0</v>
      </c>
      <c r="K345" t="str">
        <v/>
      </c>
      <c r="L345" t="str">
        <v>Enviar Email 1</v>
      </c>
      <c r="M345" t="str">
        <v/>
      </c>
      <c r="N345" t="str">
        <v>1 equipos · Pres: HUGO RUBEN ALARCON LEONARD</v>
      </c>
    </row>
    <row r="346">
      <c r="A346" t="str">
        <v xml:space="preserve">ATLETICO CLUB DE SOCIOS </v>
      </c>
      <c r="B346" t="str">
        <v>Getafe, Madrid</v>
      </c>
      <c r="C346" t="str">
        <v>https://www.atleticoclubdesocios.es</v>
      </c>
      <c r="D346" t="str">
        <v>contacto@atleticoclubdesocios.es</v>
      </c>
      <c r="E346" t="str">
        <v>630601947</v>
      </c>
      <c r="F346" t="str">
        <v>Fútbol · RFFM</v>
      </c>
      <c r="G346" t="str">
        <v>Nuevo</v>
      </c>
      <c r="H346" t="str">
        <v/>
      </c>
      <c r="I346" t="str">
        <v/>
      </c>
      <c r="J346" t="str">
        <v>0</v>
      </c>
      <c r="K346" t="str">
        <v/>
      </c>
      <c r="L346" t="str">
        <v>Enviar Email 1</v>
      </c>
      <c r="M346" t="str">
        <v/>
      </c>
      <c r="N346" t="str">
        <v>7 equipos · Pres: IGNACIO SANCHEZ POSTIGO</v>
      </c>
    </row>
    <row r="347">
      <c r="A347" t="str">
        <v>ESPAÑOLETO C.F.</v>
      </c>
      <c r="B347" t="str">
        <v>Rivas-Vaciamadrid, Madrid</v>
      </c>
      <c r="C347" t="str">
        <v>verificar</v>
      </c>
      <c r="D347" t="str">
        <v>Españoleto@gmail.com</v>
      </c>
      <c r="E347" t="str">
        <v>691201820</v>
      </c>
      <c r="F347" t="str">
        <v>Fútbol · RFFM</v>
      </c>
      <c r="G347" t="str">
        <v>Nuevo</v>
      </c>
      <c r="H347" t="str">
        <v/>
      </c>
      <c r="I347" t="str">
        <v/>
      </c>
      <c r="J347" t="str">
        <v>0</v>
      </c>
      <c r="K347" t="str">
        <v/>
      </c>
      <c r="L347" t="str">
        <v>Enviar Email 1</v>
      </c>
      <c r="M347" t="str">
        <v/>
      </c>
      <c r="N347" t="str">
        <v>1 equipos · Pres: RAUL JIMENEZ RICO</v>
      </c>
    </row>
    <row r="348">
      <c r="A348" t="str">
        <v>C.D. MAS RIVER</v>
      </c>
      <c r="B348" t="str">
        <v>Madrid, Madrid</v>
      </c>
      <c r="C348" t="str">
        <v>verificar</v>
      </c>
      <c r="D348" t="str">
        <v>info@cdmasriver.com</v>
      </c>
      <c r="E348" t="str">
        <v>699316514</v>
      </c>
      <c r="F348" t="str">
        <v>Fútbol · RFFM</v>
      </c>
      <c r="G348" t="str">
        <v>Nuevo</v>
      </c>
      <c r="H348" t="str">
        <v/>
      </c>
      <c r="I348" t="str">
        <v/>
      </c>
      <c r="J348" t="str">
        <v>0</v>
      </c>
      <c r="K348" t="str">
        <v/>
      </c>
      <c r="L348" t="str">
        <v>Enviar Email 1</v>
      </c>
      <c r="M348" t="str">
        <v/>
      </c>
      <c r="N348" t="str">
        <v>40 equipos · Pres: LUIS MASERO BENAYAS</v>
      </c>
    </row>
    <row r="349">
      <c r="A349" t="str">
        <v>CDE ESCUELA UNION DEPORTIVA LOECHES</v>
      </c>
      <c r="B349" t="str">
        <v>Loeches, Madrid</v>
      </c>
      <c r="C349" t="str">
        <v>https://atleticoloeches.rffm.es/pnfg/NPcd/RW_Inicio</v>
      </c>
      <c r="D349" t="str">
        <v>angelitotribu@hotmail.com</v>
      </c>
      <c r="E349" t="str">
        <v>635628942</v>
      </c>
      <c r="F349" t="str">
        <v>Fútbol · RFFM</v>
      </c>
      <c r="G349" t="str">
        <v>Nuevo</v>
      </c>
      <c r="H349" t="str">
        <v/>
      </c>
      <c r="I349" t="str">
        <v/>
      </c>
      <c r="J349" t="str">
        <v>0</v>
      </c>
      <c r="K349" t="str">
        <v/>
      </c>
      <c r="L349" t="str">
        <v>Enviar Email 1</v>
      </c>
      <c r="M349" t="str">
        <v/>
      </c>
      <c r="N349" t="str">
        <v>8 equipos · Pres: ANGEL MARTINEZ GORDO</v>
      </c>
    </row>
    <row r="350">
      <c r="A350" t="str">
        <v>C.D. NUEVO BOADILLA</v>
      </c>
      <c r="B350" t="str">
        <v>Boadilla Del Monte, Madrid</v>
      </c>
      <c r="C350" t="str">
        <v>https://www.nuevoboadilla.es</v>
      </c>
      <c r="D350" t="str">
        <v>info@nuevoboadilla.es</v>
      </c>
      <c r="E350" t="str">
        <v>916323589</v>
      </c>
      <c r="F350" t="str">
        <v>Fútbol · RFFM</v>
      </c>
      <c r="G350" t="str">
        <v>Nuevo</v>
      </c>
      <c r="H350" t="str">
        <v/>
      </c>
      <c r="I350" t="str">
        <v/>
      </c>
      <c r="J350" t="str">
        <v>0</v>
      </c>
      <c r="K350" t="str">
        <v/>
      </c>
      <c r="L350" t="str">
        <v>Enviar Email 1</v>
      </c>
      <c r="M350" t="str">
        <v/>
      </c>
      <c r="N350" t="str">
        <v>111 equipos · Pres: FRANCISCO JAVIER GONZALEZ MENENDEZ</v>
      </c>
    </row>
    <row r="351">
      <c r="A351" t="str">
        <v>A.D.C. CASTILLA</v>
      </c>
      <c r="B351" t="str">
        <v>San Lorenzo De El Escorial, Madrid</v>
      </c>
      <c r="C351" t="str">
        <v>https://www.adccastilla.rffm.es</v>
      </c>
      <c r="D351" t="str">
        <v>adccastilla@gmail.com</v>
      </c>
      <c r="E351" t="str">
        <v>607785912</v>
      </c>
      <c r="F351" t="str">
        <v>Fútbol · RFFM</v>
      </c>
      <c r="G351" t="str">
        <v>Nuevo</v>
      </c>
      <c r="H351" t="str">
        <v/>
      </c>
      <c r="I351" t="str">
        <v/>
      </c>
      <c r="J351" t="str">
        <v>0</v>
      </c>
      <c r="K351" t="str">
        <v/>
      </c>
      <c r="L351" t="str">
        <v>Enviar Email 1</v>
      </c>
      <c r="M351" t="str">
        <v/>
      </c>
      <c r="N351" t="str">
        <v>12 equipos · Pres: MIGUEL ANGEL RODRIGUEZ GUISADO</v>
      </c>
    </row>
    <row r="352">
      <c r="A352" t="str">
        <v>ARGANDA UNION DEPORTIVA</v>
      </c>
      <c r="B352" t="str">
        <v>Arganda Del Rey, Madrid</v>
      </c>
      <c r="C352" t="str">
        <v>https://www.argandaud.com</v>
      </c>
      <c r="D352" t="str">
        <v>argandaud@argandaud.es</v>
      </c>
      <c r="E352" t="str">
        <v>640574897</v>
      </c>
      <c r="F352" t="str">
        <v>Fútbol · RFFM</v>
      </c>
      <c r="G352" t="str">
        <v>Nuevo</v>
      </c>
      <c r="H352" t="str">
        <v/>
      </c>
      <c r="I352" t="str">
        <v/>
      </c>
      <c r="J352" t="str">
        <v>0</v>
      </c>
      <c r="K352" t="str">
        <v/>
      </c>
      <c r="L352" t="str">
        <v>Enviar Email 1</v>
      </c>
      <c r="M352" t="str">
        <v/>
      </c>
      <c r="N352" t="str">
        <v>6 equipos · Pres: PEDRO PABLO ALONSO MARTINEZ</v>
      </c>
    </row>
    <row r="353">
      <c r="A353" t="str">
        <v>C.D.E. AMISTAD ALCORCON</v>
      </c>
      <c r="B353" t="str">
        <v>Alcorcón, Madrid</v>
      </c>
      <c r="C353" t="str">
        <v>https://www.cdeamistad.com</v>
      </c>
      <c r="D353" t="str">
        <v>info@cdeamistad.com</v>
      </c>
      <c r="E353" t="str">
        <v>633244011</v>
      </c>
      <c r="F353" t="str">
        <v>Fútbol · RFFM</v>
      </c>
      <c r="G353" t="str">
        <v>Nuevo</v>
      </c>
      <c r="H353" t="str">
        <v/>
      </c>
      <c r="I353" t="str">
        <v/>
      </c>
      <c r="J353" t="str">
        <v>0</v>
      </c>
      <c r="K353" t="str">
        <v/>
      </c>
      <c r="L353" t="str">
        <v>Enviar Email 1</v>
      </c>
      <c r="M353" t="str">
        <v/>
      </c>
      <c r="N353" t="str">
        <v>48 equipos · Pres: DAVID SOPUERTA DIEZ · FB:https://www.facebook.com/CDEAmistad/ · IG:https://www.instagram.com/cdeamistad/</v>
      </c>
    </row>
    <row r="354">
      <c r="A354" t="str">
        <v>C.D. VALLMONT DE VILLANUEVA DEL PARDILLO</v>
      </c>
      <c r="B354" t="str">
        <v>Villanueva del Pardillo, Madrid</v>
      </c>
      <c r="C354" t="str">
        <v>https://www.colegiovallmont.es</v>
      </c>
      <c r="D354" t="str">
        <v>futbol@clubdeportivovallmont.es</v>
      </c>
      <c r="E354" t="str">
        <v>918102900</v>
      </c>
      <c r="F354" t="str">
        <v>Fútbol · RFFM</v>
      </c>
      <c r="G354" t="str">
        <v>Nuevo</v>
      </c>
      <c r="H354" t="str">
        <v/>
      </c>
      <c r="I354" t="str">
        <v/>
      </c>
      <c r="J354" t="str">
        <v>0</v>
      </c>
      <c r="K354" t="str">
        <v/>
      </c>
      <c r="L354" t="str">
        <v>Enviar Email 1</v>
      </c>
      <c r="M354" t="str">
        <v/>
      </c>
      <c r="N354" t="str">
        <v>4 equipos · Pres: ALEJANDRO J. PRADOS DIAZ</v>
      </c>
    </row>
    <row r="355">
      <c r="A355" t="str">
        <v>C.D. SPORT VILLA DE VALLECAS</v>
      </c>
      <c r="B355" t="str">
        <v>Madrid, Madrid</v>
      </c>
      <c r="C355" t="str">
        <v>https://www.sportvilladevallecas.es</v>
      </c>
      <c r="D355" t="str">
        <v>clubsportvilla@gmail.com</v>
      </c>
      <c r="E355" t="str">
        <v>656922630</v>
      </c>
      <c r="F355" t="str">
        <v>Fútbol · RFFM</v>
      </c>
      <c r="G355" t="str">
        <v>Nuevo</v>
      </c>
      <c r="H355" t="str">
        <v/>
      </c>
      <c r="I355" t="str">
        <v/>
      </c>
      <c r="J355" t="str">
        <v>0</v>
      </c>
      <c r="K355" t="str">
        <v/>
      </c>
      <c r="L355" t="str">
        <v>Enviar Email 1</v>
      </c>
      <c r="M355" t="str">
        <v/>
      </c>
      <c r="N355" t="str">
        <v>15 equipos · Pres: JUAN MIGUEL ALMAGRO PASCUAL · IG:cdsportvilla</v>
      </c>
    </row>
    <row r="356">
      <c r="A356" t="str">
        <v>C.D. SPORTING VALDEBERNARDO</v>
      </c>
      <c r="B356" t="str">
        <v>Madrid, Madrid</v>
      </c>
      <c r="C356" t="str">
        <v>https://sportingvb.ffmadrid.org</v>
      </c>
      <c r="D356" t="str">
        <v>sportingvb@hotmail.com</v>
      </c>
      <c r="E356" t="str">
        <v>689556624</v>
      </c>
      <c r="F356" t="str">
        <v>Fútbol · RFFM</v>
      </c>
      <c r="G356" t="str">
        <v>Nuevo</v>
      </c>
      <c r="H356" t="str">
        <v/>
      </c>
      <c r="I356" t="str">
        <v/>
      </c>
      <c r="J356" t="str">
        <v>0</v>
      </c>
      <c r="K356" t="str">
        <v/>
      </c>
      <c r="L356" t="str">
        <v>Enviar Email 1</v>
      </c>
      <c r="M356" t="str">
        <v/>
      </c>
      <c r="N356" t="str">
        <v>6 equipos · Pres: GREGORIO ARRANZ GONZALEZ</v>
      </c>
    </row>
    <row r="357">
      <c r="A357" t="str">
        <v>C.D. PRODET POZUELO</v>
      </c>
      <c r="B357" t="str">
        <v>Pozuelo De Alarcón, Madrid</v>
      </c>
      <c r="C357" t="str">
        <v>https://www.deportesorolla.com</v>
      </c>
      <c r="D357" t="str">
        <v>contacto@deportesorolla.com</v>
      </c>
      <c r="E357" t="str">
        <v>913527544</v>
      </c>
      <c r="F357" t="str">
        <v>Fútbol · RFFM</v>
      </c>
      <c r="G357" t="str">
        <v>Nuevo</v>
      </c>
      <c r="H357" t="str">
        <v/>
      </c>
      <c r="I357" t="str">
        <v/>
      </c>
      <c r="J357" t="str">
        <v>0</v>
      </c>
      <c r="K357" t="str">
        <v/>
      </c>
      <c r="L357" t="str">
        <v>Enviar Email 1</v>
      </c>
      <c r="M357" t="str">
        <v/>
      </c>
      <c r="N357" t="str">
        <v>5 equipos · Pres: ANTONIO DE DIEGO SAEZ</v>
      </c>
    </row>
    <row r="358">
      <c r="A358" t="str">
        <v>FUTBOL CLUB BRITANICO</v>
      </c>
      <c r="B358" t="str">
        <v>Madrid, Madrid</v>
      </c>
      <c r="C358" t="str">
        <v>https://www.futbolclubbritanico.com</v>
      </c>
      <c r="D358" t="str">
        <v>info@futbolclubbritanico.com</v>
      </c>
      <c r="E358" t="str">
        <v>verificar</v>
      </c>
      <c r="F358" t="str">
        <v>Fútbol · RFFM</v>
      </c>
      <c r="G358" t="str">
        <v>Nuevo</v>
      </c>
      <c r="H358" t="str">
        <v/>
      </c>
      <c r="I358" t="str">
        <v/>
      </c>
      <c r="J358" t="str">
        <v>0</v>
      </c>
      <c r="K358" t="str">
        <v/>
      </c>
      <c r="L358" t="str">
        <v>Enviar Email 1</v>
      </c>
      <c r="M358" t="str">
        <v/>
      </c>
      <c r="N358" t="str">
        <v>1 equipos · Pres: NEIL MORAN · FB:https://www.facebook.com/FutbolClubBritanico · IG:https://www.instagram.com/futbolclubbritanico/?hl=en</v>
      </c>
    </row>
    <row r="359">
      <c r="A359" t="str">
        <v>C.D. BOCA</v>
      </c>
      <c r="B359" t="str">
        <v>Madrid, Madrid</v>
      </c>
      <c r="C359" t="str">
        <v>verificar</v>
      </c>
      <c r="D359" t="str">
        <v>mlopezbreab@yahoo.es</v>
      </c>
      <c r="E359" t="str">
        <v>649946043</v>
      </c>
      <c r="F359" t="str">
        <v>Fútbol · RFFM</v>
      </c>
      <c r="G359" t="str">
        <v>Nuevo</v>
      </c>
      <c r="H359" t="str">
        <v/>
      </c>
      <c r="I359" t="str">
        <v/>
      </c>
      <c r="J359" t="str">
        <v>0</v>
      </c>
      <c r="K359" t="str">
        <v/>
      </c>
      <c r="L359" t="str">
        <v>Enviar Email 1</v>
      </c>
      <c r="M359" t="str">
        <v/>
      </c>
      <c r="N359" t="str">
        <v>1 equipos · Pres: MARCOS LOPEZ-BREA BAQUERO</v>
      </c>
    </row>
    <row r="360">
      <c r="A360" t="str">
        <v>AGRUPACION AUTO-ESCUELA SIMANCAS</v>
      </c>
      <c r="B360" t="str">
        <v>Madrid, Madrid</v>
      </c>
      <c r="C360" t="str">
        <v>verificar</v>
      </c>
      <c r="D360" t="str">
        <v>verificar</v>
      </c>
      <c r="E360" t="str">
        <v>656831575</v>
      </c>
      <c r="F360" t="str">
        <v>Fútbol · RFFM</v>
      </c>
      <c r="G360" t="str">
        <v>Nuevo</v>
      </c>
      <c r="H360" t="str">
        <v/>
      </c>
      <c r="I360" t="str">
        <v/>
      </c>
      <c r="J360" t="str">
        <v>0</v>
      </c>
      <c r="K360" t="str">
        <v/>
      </c>
      <c r="L360" t="str">
        <v>Enviar Email 1</v>
      </c>
      <c r="M360" t="str">
        <v/>
      </c>
      <c r="N360" t="str">
        <v>14 equipos · Pres: JESUS DE JOSE MARTIN</v>
      </c>
    </row>
    <row r="361">
      <c r="A361" t="str">
        <v>ESC.MUN. TORREJON DE LA CALZADA</v>
      </c>
      <c r="B361" t="str">
        <v>Torrejón De La Calzada, Madrid</v>
      </c>
      <c r="C361" t="str">
        <v>verificar</v>
      </c>
      <c r="D361" t="str">
        <v>deportes@aytotorrejoncalzada.org</v>
      </c>
      <c r="E361" t="str">
        <v>679355158</v>
      </c>
      <c r="F361" t="str">
        <v>Fútbol · RFFM</v>
      </c>
      <c r="G361" t="str">
        <v>Nuevo</v>
      </c>
      <c r="H361" t="str">
        <v/>
      </c>
      <c r="I361" t="str">
        <v/>
      </c>
      <c r="J361" t="str">
        <v>0</v>
      </c>
      <c r="K361" t="str">
        <v/>
      </c>
      <c r="L361" t="str">
        <v>Enviar Email 1</v>
      </c>
      <c r="M361" t="str">
        <v/>
      </c>
      <c r="N361" t="str">
        <v>17 equipos · Pres: JOSE ANGEL PURA LOPEZ</v>
      </c>
    </row>
    <row r="362">
      <c r="A362" t="str">
        <v>C.D. CLUNY POZUELO (BAJA TEMP 2025 -2026)</v>
      </c>
      <c r="B362" t="str">
        <v>Pozuelo De Alarcón, Madrid</v>
      </c>
      <c r="C362" t="str">
        <v>verificar</v>
      </c>
      <c r="D362" t="str">
        <v>csn.enrique@hotmail.com</v>
      </c>
      <c r="E362" t="str">
        <v>676760587</v>
      </c>
      <c r="F362" t="str">
        <v>Fútbol · RFFM</v>
      </c>
      <c r="G362" t="str">
        <v>Nuevo</v>
      </c>
      <c r="H362" t="str">
        <v/>
      </c>
      <c r="I362" t="str">
        <v/>
      </c>
      <c r="J362" t="str">
        <v>0</v>
      </c>
      <c r="K362" t="str">
        <v/>
      </c>
      <c r="L362" t="str">
        <v>Enviar Email 1</v>
      </c>
      <c r="M362" t="str">
        <v/>
      </c>
      <c r="N362" t="str">
        <v>- equipos · Pres: MARIA ENCISO GARCIA</v>
      </c>
    </row>
    <row r="363">
      <c r="A363" t="str">
        <v>C.D. UNION ELIPA</v>
      </c>
      <c r="B363" t="str">
        <v>Madrid, Madrid</v>
      </c>
      <c r="C363" t="str">
        <v>verificar</v>
      </c>
      <c r="D363" t="str">
        <v>unionelipa@gmail.com</v>
      </c>
      <c r="E363" t="str">
        <v>911555280</v>
      </c>
      <c r="F363" t="str">
        <v>Fútbol · RFFM</v>
      </c>
      <c r="G363" t="str">
        <v>Nuevo</v>
      </c>
      <c r="H363" t="str">
        <v/>
      </c>
      <c r="I363" t="str">
        <v/>
      </c>
      <c r="J363" t="str">
        <v>0</v>
      </c>
      <c r="K363" t="str">
        <v/>
      </c>
      <c r="L363" t="str">
        <v>Enviar Email 1</v>
      </c>
      <c r="M363" t="str">
        <v/>
      </c>
      <c r="N363" t="str">
        <v>15 equipos · Pres: JOSE ALBERTO CABAÑAS RINCON</v>
      </c>
    </row>
    <row r="364">
      <c r="A364" t="str">
        <v>C.D. ALGETEÑO</v>
      </c>
      <c r="B364" t="str">
        <v>Algete, Madrid</v>
      </c>
      <c r="C364" t="str">
        <v>https://www.algeteño.com</v>
      </c>
      <c r="D364" t="str">
        <v>cdalgeteno@gmail.com</v>
      </c>
      <c r="E364" t="str">
        <v>617921767</v>
      </c>
      <c r="F364" t="str">
        <v>Fútbol · RFFM</v>
      </c>
      <c r="G364" t="str">
        <v>Nuevo</v>
      </c>
      <c r="H364" t="str">
        <v/>
      </c>
      <c r="I364" t="str">
        <v/>
      </c>
      <c r="J364" t="str">
        <v>0</v>
      </c>
      <c r="K364" t="str">
        <v/>
      </c>
      <c r="L364" t="str">
        <v>Enviar Email 1</v>
      </c>
      <c r="M364" t="str">
        <v/>
      </c>
      <c r="N364" t="str">
        <v>15 equipos · Pres: BEGOÑA SILVESTRE GIL · FB:www.facebook.com/cdalgeteno · IG:www.instagram.com/c.d.algeteno</v>
      </c>
    </row>
    <row r="365">
      <c r="A365" t="str">
        <v>C.D.E. CIUDAD DE PINTO</v>
      </c>
      <c r="B365" t="str">
        <v>Pinto, Madrid</v>
      </c>
      <c r="C365" t="str">
        <v>https://www.ciudadepinto.com</v>
      </c>
      <c r="D365" t="str">
        <v>clubdeportivociudadepinto@yahoo.es</v>
      </c>
      <c r="E365" t="str">
        <v>670877194</v>
      </c>
      <c r="F365" t="str">
        <v>Fútbol · RFFM</v>
      </c>
      <c r="G365" t="str">
        <v>Nuevo</v>
      </c>
      <c r="H365" t="str">
        <v/>
      </c>
      <c r="I365" t="str">
        <v/>
      </c>
      <c r="J365" t="str">
        <v>0</v>
      </c>
      <c r="K365" t="str">
        <v/>
      </c>
      <c r="L365" t="str">
        <v>Enviar Email 1</v>
      </c>
      <c r="M365" t="str">
        <v/>
      </c>
      <c r="N365" t="str">
        <v>35 equipos · Pres: ANTONIO VALDERRAMA ANDUJAR</v>
      </c>
    </row>
    <row r="366">
      <c r="A366" t="str">
        <v>C.D. LIBERTAD ALCORCON</v>
      </c>
      <c r="B366" t="str">
        <v>Alcorcón, Madrid</v>
      </c>
      <c r="C366" t="str">
        <v>https://www.deportivolibertad.com</v>
      </c>
      <c r="D366" t="str">
        <v>informacion@deportivolibertad.com</v>
      </c>
      <c r="E366" t="str">
        <v>639154073</v>
      </c>
      <c r="F366" t="str">
        <v>Fútbol · RFFM</v>
      </c>
      <c r="G366" t="str">
        <v>Nuevo</v>
      </c>
      <c r="H366" t="str">
        <v/>
      </c>
      <c r="I366" t="str">
        <v/>
      </c>
      <c r="J366" t="str">
        <v>0</v>
      </c>
      <c r="K366" t="str">
        <v/>
      </c>
      <c r="L366" t="str">
        <v>Enviar Email 1</v>
      </c>
      <c r="M366" t="str">
        <v/>
      </c>
      <c r="N366" t="str">
        <v>34 equipos · Pres: JESUS MOHEDAS TELLEZ</v>
      </c>
    </row>
    <row r="367">
      <c r="A367" t="str">
        <v>RAYO BRUNETE C.F.</v>
      </c>
      <c r="B367" t="str">
        <v>Brunete, Madrid</v>
      </c>
      <c r="C367" t="str">
        <v>https://www.facebook.com/RayoBruneteCF/</v>
      </c>
      <c r="D367" t="str">
        <v>verificar</v>
      </c>
      <c r="E367" t="str">
        <v>635913968</v>
      </c>
      <c r="F367" t="str">
        <v>Fútbol · RFFM</v>
      </c>
      <c r="G367" t="str">
        <v>Nuevo</v>
      </c>
      <c r="H367" t="str">
        <v/>
      </c>
      <c r="I367" t="str">
        <v/>
      </c>
      <c r="J367" t="str">
        <v>0</v>
      </c>
      <c r="K367" t="str">
        <v/>
      </c>
      <c r="L367" t="str">
        <v>Enviar Email 1</v>
      </c>
      <c r="M367" t="str">
        <v/>
      </c>
      <c r="N367" t="str">
        <v>6 equipos · Pres: SANTOS PARIENTE PANAJIOTIDIS</v>
      </c>
    </row>
    <row r="368">
      <c r="A368" t="str">
        <v>MADRID C.F. FEMENINO</v>
      </c>
      <c r="B368" t="str">
        <v>Madrid, Madrid</v>
      </c>
      <c r="C368" t="str">
        <v>https://www.madridcff.com</v>
      </c>
      <c r="D368" t="str">
        <v>club@madridcff.com</v>
      </c>
      <c r="E368" t="str">
        <v>915471900</v>
      </c>
      <c r="F368" t="str">
        <v>Fútbol · RFFM</v>
      </c>
      <c r="G368" t="str">
        <v>Nuevo</v>
      </c>
      <c r="H368" t="str">
        <v/>
      </c>
      <c r="I368" t="str">
        <v/>
      </c>
      <c r="J368" t="str">
        <v>0</v>
      </c>
      <c r="K368" t="str">
        <v/>
      </c>
      <c r="L368" t="str">
        <v>Enviar Email 1</v>
      </c>
      <c r="M368" t="str">
        <v/>
      </c>
      <c r="N368" t="str">
        <v>31 equipos · Pres: ALFREDO ULLOA GOMEZ</v>
      </c>
    </row>
    <row r="369">
      <c r="A369" t="str">
        <v>ATLETICO NAVALCARNERO</v>
      </c>
      <c r="B369" t="str">
        <v>Navalcarnero, Madrid</v>
      </c>
      <c r="C369" t="str">
        <v>https://www.atleticonavalcarnero.es</v>
      </c>
      <c r="D369" t="str">
        <v>atleticonavalcarnero@hotmail.es</v>
      </c>
      <c r="E369" t="str">
        <v>619148142</v>
      </c>
      <c r="F369" t="str">
        <v>Fútbol · RFFM</v>
      </c>
      <c r="G369" t="str">
        <v>Nuevo</v>
      </c>
      <c r="H369" t="str">
        <v/>
      </c>
      <c r="I369" t="str">
        <v/>
      </c>
      <c r="J369" t="str">
        <v>0</v>
      </c>
      <c r="K369" t="str">
        <v/>
      </c>
      <c r="L369" t="str">
        <v>Enviar Email 1</v>
      </c>
      <c r="M369" t="str">
        <v/>
      </c>
      <c r="N369" t="str">
        <v>11 equipos · Pres: OSCAR BENITO MARTINEZ</v>
      </c>
    </row>
    <row r="370">
      <c r="A370" t="str">
        <v>C.D. ARENAL 30</v>
      </c>
      <c r="B370" t="str">
        <v>Madrid, Madrid</v>
      </c>
      <c r="C370" t="str">
        <v>https://cdearenal30@gmail.com</v>
      </c>
      <c r="D370" t="str">
        <v>cdearenal30@gmail.com</v>
      </c>
      <c r="E370" t="str">
        <v>629985985</v>
      </c>
      <c r="F370" t="str">
        <v>Fútbol · RFFM</v>
      </c>
      <c r="G370" t="str">
        <v>Nuevo</v>
      </c>
      <c r="H370" t="str">
        <v/>
      </c>
      <c r="I370" t="str">
        <v/>
      </c>
      <c r="J370" t="str">
        <v>0</v>
      </c>
      <c r="K370" t="str">
        <v/>
      </c>
      <c r="L370" t="str">
        <v>Enviar Email 1</v>
      </c>
      <c r="M370" t="str">
        <v/>
      </c>
      <c r="N370" t="str">
        <v>1 equipos · Pres: JORGE RODRIGUEZ MARTIN</v>
      </c>
    </row>
    <row r="371">
      <c r="A371" t="str">
        <v>A.D. FUTBOL BASE 3 CANTOS</v>
      </c>
      <c r="B371" t="str">
        <v>Tres Cantos, Madrid</v>
      </c>
      <c r="C371" t="str">
        <v>https://www.base3cantos.es</v>
      </c>
      <c r="D371" t="str">
        <v>base3cantos@gmail.com</v>
      </c>
      <c r="E371" t="str">
        <v>628359925</v>
      </c>
      <c r="F371" t="str">
        <v>Fútbol · RFFM</v>
      </c>
      <c r="G371" t="str">
        <v>Nuevo</v>
      </c>
      <c r="H371" t="str">
        <v/>
      </c>
      <c r="I371" t="str">
        <v/>
      </c>
      <c r="J371" t="str">
        <v>0</v>
      </c>
      <c r="K371" t="str">
        <v/>
      </c>
      <c r="L371" t="str">
        <v>Enviar Email 1</v>
      </c>
      <c r="M371" t="str">
        <v/>
      </c>
      <c r="N371" t="str">
        <v>11 equipos · Pres: CARLOS MUÑOZ BAGLIETTO · IG:@base3cantos</v>
      </c>
    </row>
    <row r="372">
      <c r="A372" t="str">
        <v>ESCUELA MUNICIPAL DE FUTBOL CHAPINERIA</v>
      </c>
      <c r="B372" t="str">
        <v>Chapinería, Madrid</v>
      </c>
      <c r="C372" t="str">
        <v>https://deportes@aytochapineria.org</v>
      </c>
      <c r="D372" t="str">
        <v>deportes@aytochapineria.org</v>
      </c>
      <c r="E372" t="str">
        <v>638926432</v>
      </c>
      <c r="F372" t="str">
        <v>Fútbol · RFFM</v>
      </c>
      <c r="G372" t="str">
        <v>Nuevo</v>
      </c>
      <c r="H372" t="str">
        <v/>
      </c>
      <c r="I372" t="str">
        <v/>
      </c>
      <c r="J372" t="str">
        <v>0</v>
      </c>
      <c r="K372" t="str">
        <v/>
      </c>
      <c r="L372" t="str">
        <v>Enviar Email 1</v>
      </c>
      <c r="M372" t="str">
        <v/>
      </c>
      <c r="N372" t="str">
        <v>9 equipos · Pres: CARLOS HORCAJO SANCHEZ · FB:facebook.com/emfchapineria · IG:emf.chapineria.oficial</v>
      </c>
    </row>
    <row r="373">
      <c r="A373" t="str">
        <v>C.D. OLIMPICO LAS ROSAS</v>
      </c>
      <c r="B373" t="str">
        <v>Madrid, Madrid</v>
      </c>
      <c r="C373" t="str">
        <v>verificar</v>
      </c>
      <c r="D373" t="str">
        <v>cdolimpicolasrosas@gmail.com</v>
      </c>
      <c r="E373" t="str">
        <v>616577640</v>
      </c>
      <c r="F373" t="str">
        <v>Fútbol · RFFM</v>
      </c>
      <c r="G373" t="str">
        <v>Nuevo</v>
      </c>
      <c r="H373" t="str">
        <v/>
      </c>
      <c r="I373" t="str">
        <v/>
      </c>
      <c r="J373" t="str">
        <v>0</v>
      </c>
      <c r="K373" t="str">
        <v/>
      </c>
      <c r="L373" t="str">
        <v>Enviar Email 1</v>
      </c>
      <c r="M373" t="str">
        <v/>
      </c>
      <c r="N373" t="str">
        <v>28 equipos · Pres: JAVIER SANCHEZ SIGUEROS</v>
      </c>
    </row>
    <row r="374">
      <c r="A374" t="str">
        <v>F.S. NAVALCARNERO</v>
      </c>
      <c r="B374" t="str">
        <v>Navalcarnero, Madrid</v>
      </c>
      <c r="C374" t="str">
        <v>verificar</v>
      </c>
      <c r="D374" t="str">
        <v>fsnavalcarnero@gmail.com</v>
      </c>
      <c r="E374" t="str">
        <v>616401667</v>
      </c>
      <c r="F374" t="str">
        <v>Fútbol · RFFM</v>
      </c>
      <c r="G374" t="str">
        <v>Nuevo</v>
      </c>
      <c r="H374" t="str">
        <v/>
      </c>
      <c r="I374" t="str">
        <v/>
      </c>
      <c r="J374" t="str">
        <v>0</v>
      </c>
      <c r="K374" t="str">
        <v/>
      </c>
      <c r="L374" t="str">
        <v>Enviar Email 1</v>
      </c>
      <c r="M374" t="str">
        <v/>
      </c>
      <c r="N374" t="str">
        <v>14 equipos · Pres: FRANCISCO PARDO CABALGANTE</v>
      </c>
    </row>
    <row r="375">
      <c r="A375" t="str">
        <v>NEUMATICOS CERVANTES F.C.</v>
      </c>
      <c r="B375" t="str">
        <v>Alcalá De Henares, Madrid</v>
      </c>
      <c r="C375" t="str">
        <v>https://luismservial@gmail.com</v>
      </c>
      <c r="D375" t="str">
        <v>luismservial@gmail.com</v>
      </c>
      <c r="E375" t="str">
        <v>666802072</v>
      </c>
      <c r="F375" t="str">
        <v>Fútbol · RFFM</v>
      </c>
      <c r="G375" t="str">
        <v>Nuevo</v>
      </c>
      <c r="H375" t="str">
        <v/>
      </c>
      <c r="I375" t="str">
        <v/>
      </c>
      <c r="J375" t="str">
        <v>0</v>
      </c>
      <c r="K375" t="str">
        <v/>
      </c>
      <c r="L375" t="str">
        <v>Enviar Email 1</v>
      </c>
      <c r="M375" t="str">
        <v/>
      </c>
      <c r="N375" t="str">
        <v>1 equipos · Pres: FERNANDO GARCIA CEA · IG:neumaticoscervantesfc</v>
      </c>
    </row>
    <row r="376">
      <c r="A376" t="str">
        <v>ATLETICO LA GARENA</v>
      </c>
      <c r="B376" t="str">
        <v>Alcalá De Henares, Madrid</v>
      </c>
      <c r="C376" t="str">
        <v>https://atleticolagarena.com/</v>
      </c>
      <c r="D376" t="str">
        <v>ENTRENAFUTBOL@HOTMAIL.COM</v>
      </c>
      <c r="E376" t="str">
        <v>637487086</v>
      </c>
      <c r="F376" t="str">
        <v>Fútbol · RFFM</v>
      </c>
      <c r="G376" t="str">
        <v>Nuevo</v>
      </c>
      <c r="H376" t="str">
        <v/>
      </c>
      <c r="I376" t="str">
        <v/>
      </c>
      <c r="J376" t="str">
        <v>0</v>
      </c>
      <c r="K376" t="str">
        <v/>
      </c>
      <c r="L376" t="str">
        <v>Enviar Email 1</v>
      </c>
      <c r="M376" t="str">
        <v/>
      </c>
      <c r="N376" t="str">
        <v>28 equipos · Pres: JORGE VALLEJO REMIRO</v>
      </c>
    </row>
    <row r="377">
      <c r="A377" t="str">
        <v>DEPORTIVO SUR LORANCA</v>
      </c>
      <c r="B377" t="str">
        <v>Fuenlabrada, Madrid</v>
      </c>
      <c r="C377" t="str">
        <v>https://www.deportivosurloranca.com</v>
      </c>
      <c r="D377" t="str">
        <v>deportivosur.c@gmail.com</v>
      </c>
      <c r="E377" t="str">
        <v>633447780</v>
      </c>
      <c r="F377" t="str">
        <v>Fútbol · RFFM</v>
      </c>
      <c r="G377" t="str">
        <v>Nuevo</v>
      </c>
      <c r="H377" t="str">
        <v/>
      </c>
      <c r="I377" t="str">
        <v/>
      </c>
      <c r="J377" t="str">
        <v>0</v>
      </c>
      <c r="K377" t="str">
        <v/>
      </c>
      <c r="L377" t="str">
        <v>Enviar Email 1</v>
      </c>
      <c r="M377" t="str">
        <v/>
      </c>
      <c r="N377" t="str">
        <v>10 equipos · Pres: DAVID CASARES ESTEBAN</v>
      </c>
    </row>
    <row r="378">
      <c r="A378" t="str">
        <v>C.D. HONDURAS</v>
      </c>
      <c r="B378" t="str">
        <v>Getafe, Madrid</v>
      </c>
      <c r="C378" t="str">
        <v>verificar</v>
      </c>
      <c r="D378" t="str">
        <v>ofemga@gmail.com</v>
      </c>
      <c r="E378" t="str">
        <v>600889497</v>
      </c>
      <c r="F378" t="str">
        <v>Fútbol · RFFM</v>
      </c>
      <c r="G378" t="str">
        <v>Nuevo</v>
      </c>
      <c r="H378" t="str">
        <v/>
      </c>
      <c r="I378" t="str">
        <v/>
      </c>
      <c r="J378" t="str">
        <v>0</v>
      </c>
      <c r="K378" t="str">
        <v/>
      </c>
      <c r="L378" t="str">
        <v>Enviar Email 1</v>
      </c>
      <c r="M378" t="str">
        <v/>
      </c>
      <c r="N378" t="str">
        <v>1 equipos · Pres: OFELIA MENDOZA GALINDO</v>
      </c>
    </row>
    <row r="379">
      <c r="A379" t="str">
        <v>RAYO CIUDAD ALCOBENDAS C.F.</v>
      </c>
      <c r="B379" t="str">
        <v>Alcobendas, Madrid</v>
      </c>
      <c r="C379" t="str">
        <v>https://www.rcalcobendas.com</v>
      </c>
      <c r="D379" t="str">
        <v>verificar</v>
      </c>
      <c r="E379" t="str">
        <v>918145230</v>
      </c>
      <c r="F379" t="str">
        <v>Fútbol · RFFM</v>
      </c>
      <c r="G379" t="str">
        <v>Nuevo</v>
      </c>
      <c r="H379" t="str">
        <v/>
      </c>
      <c r="I379" t="str">
        <v/>
      </c>
      <c r="J379" t="str">
        <v>0</v>
      </c>
      <c r="K379" t="str">
        <v/>
      </c>
      <c r="L379" t="str">
        <v>Enviar Email 1</v>
      </c>
      <c r="M379" t="str">
        <v/>
      </c>
      <c r="N379" t="str">
        <v>49 equipos · Pres: MIGUEL ANGEL PLA</v>
      </c>
    </row>
    <row r="380">
      <c r="A380" t="str">
        <v>C.D. VILLA BUITRAGO DEL LOZOYA</v>
      </c>
      <c r="B380" t="str">
        <v>Buitrago Del Lozoya, Madrid</v>
      </c>
      <c r="C380" t="str">
        <v>https://www.villabuitragocd.com</v>
      </c>
      <c r="D380" t="str">
        <v>villabuitragocd@gmail.com</v>
      </c>
      <c r="E380" t="str">
        <v>618109074</v>
      </c>
      <c r="F380" t="str">
        <v>Fútbol · RFFM</v>
      </c>
      <c r="G380" t="str">
        <v>Nuevo</v>
      </c>
      <c r="H380" t="str">
        <v/>
      </c>
      <c r="I380" t="str">
        <v/>
      </c>
      <c r="J380" t="str">
        <v>0</v>
      </c>
      <c r="K380" t="str">
        <v/>
      </c>
      <c r="L380" t="str">
        <v>Enviar Email 1</v>
      </c>
      <c r="M380" t="str">
        <v/>
      </c>
      <c r="N380" t="str">
        <v>7 equipos · Pres: CARLOS DEL VALLE SANTOS</v>
      </c>
    </row>
    <row r="381">
      <c r="A381" t="str">
        <v>C.D. SANTIAGO APOSTOL VILLAVERDE</v>
      </c>
      <c r="B381" t="str">
        <v>Madrid, Madrid</v>
      </c>
      <c r="C381" t="str">
        <v>https://www.cdsantiagoapostol.com</v>
      </c>
      <c r="D381" t="str">
        <v>cdsantiagoapostol@gmail.com</v>
      </c>
      <c r="E381" t="str">
        <v>675752586</v>
      </c>
      <c r="F381" t="str">
        <v>Fútbol · RFFM</v>
      </c>
      <c r="G381" t="str">
        <v>Nuevo</v>
      </c>
      <c r="H381" t="str">
        <v/>
      </c>
      <c r="I381" t="str">
        <v/>
      </c>
      <c r="J381" t="str">
        <v>0</v>
      </c>
      <c r="K381" t="str">
        <v/>
      </c>
      <c r="L381" t="str">
        <v>Enviar Email 1</v>
      </c>
      <c r="M381" t="str">
        <v/>
      </c>
      <c r="N381" t="str">
        <v>15 equipos · Pres: RICARDO MINGORANCE PEREZ</v>
      </c>
    </row>
    <row r="382">
      <c r="A382" t="str">
        <v>C.D.B. BASE</v>
      </c>
      <c r="B382" t="str">
        <v>Alcobendas, Madrid</v>
      </c>
      <c r="C382" t="str">
        <v>https://deportivobase.com</v>
      </c>
      <c r="D382" t="str">
        <v>deportivobase@deportivobase.com</v>
      </c>
      <c r="E382" t="str">
        <v>916500313</v>
      </c>
      <c r="F382" t="str">
        <v>Fútbol · RFFM</v>
      </c>
      <c r="G382" t="str">
        <v>Nuevo</v>
      </c>
      <c r="H382" t="str">
        <v/>
      </c>
      <c r="I382" t="str">
        <v/>
      </c>
      <c r="J382" t="str">
        <v>0</v>
      </c>
      <c r="K382" t="str">
        <v/>
      </c>
      <c r="L382" t="str">
        <v>Enviar Email 1</v>
      </c>
      <c r="M382" t="str">
        <v/>
      </c>
      <c r="N382" t="str">
        <v>10 equipos · Pres: DIEGO SAAVEDRA ESTEBAN</v>
      </c>
    </row>
    <row r="383">
      <c r="A383" t="str">
        <v>ADESO LOS ANGELES</v>
      </c>
      <c r="B383" t="str">
        <v>Getafe, Madrid</v>
      </c>
      <c r="C383" t="str">
        <v>https://www.colegiolosangeles.net/</v>
      </c>
      <c r="D383" t="str">
        <v>mora_manu_10@hotmail.com</v>
      </c>
      <c r="E383" t="str">
        <v>916831918</v>
      </c>
      <c r="F383" t="str">
        <v>Fútbol · RFFM</v>
      </c>
      <c r="G383" t="str">
        <v>Nuevo</v>
      </c>
      <c r="H383" t="str">
        <v/>
      </c>
      <c r="I383" t="str">
        <v/>
      </c>
      <c r="J383" t="str">
        <v>0</v>
      </c>
      <c r="K383" t="str">
        <v/>
      </c>
      <c r="L383" t="str">
        <v>Enviar Email 1</v>
      </c>
      <c r="M383" t="str">
        <v/>
      </c>
      <c r="N383" t="str">
        <v>11 equipos · Pres: RODRIGO TABERNERO HERNANDEZ</v>
      </c>
    </row>
    <row r="384">
      <c r="A384" t="str">
        <v>CDE MADRID RIO</v>
      </c>
      <c r="B384" t="str">
        <v>Madrid, Madrid</v>
      </c>
      <c r="C384" t="str">
        <v>https://www.cfmadridrio.com</v>
      </c>
      <c r="D384" t="str">
        <v>escuela@futbolmadridrio.com</v>
      </c>
      <c r="E384" t="str">
        <v>664239272</v>
      </c>
      <c r="F384" t="str">
        <v>Fútbol · RFFM</v>
      </c>
      <c r="G384" t="str">
        <v>Nuevo</v>
      </c>
      <c r="H384" t="str">
        <v/>
      </c>
      <c r="I384" t="str">
        <v/>
      </c>
      <c r="J384" t="str">
        <v>0</v>
      </c>
      <c r="K384" t="str">
        <v/>
      </c>
      <c r="L384" t="str">
        <v>Enviar Email 1</v>
      </c>
      <c r="M384" t="str">
        <v/>
      </c>
      <c r="N384" t="str">
        <v>66 equipos · Pres: MANUEL RODRIGUEZ VELA · FB:CF Madrid Río · IG:@c.f.madridrio</v>
      </c>
    </row>
    <row r="385">
      <c r="A385" t="str">
        <v>C.D. SAN AGUSTIN LOS NEGRALES</v>
      </c>
      <c r="B385" t="str">
        <v>Guadarrama, Madrid</v>
      </c>
      <c r="C385" t="str">
        <v>https://www.sanagustinlosnegrales.es</v>
      </c>
      <c r="D385" t="str">
        <v>deportes@sanagustinlosnegrales.es</v>
      </c>
      <c r="E385" t="str">
        <v>611145664</v>
      </c>
      <c r="F385" t="str">
        <v>Fútbol · RFFM</v>
      </c>
      <c r="G385" t="str">
        <v>Nuevo</v>
      </c>
      <c r="H385" t="str">
        <v/>
      </c>
      <c r="I385" t="str">
        <v/>
      </c>
      <c r="J385" t="str">
        <v>0</v>
      </c>
      <c r="K385" t="str">
        <v/>
      </c>
      <c r="L385" t="str">
        <v>Enviar Email 1</v>
      </c>
      <c r="M385" t="str">
        <v/>
      </c>
      <c r="N385" t="str">
        <v>16 equipos · Pres: ANTONIO VACA FERNANDEZ · IG:@csalosnegrales.clubdeportivo</v>
      </c>
    </row>
    <row r="386">
      <c r="A386" t="str">
        <v>C.D. MADRID SUR LATINA</v>
      </c>
      <c r="B386" t="str">
        <v>Madrid, Madrid</v>
      </c>
      <c r="C386" t="str">
        <v>https://www.cdmadridsurlatina.com</v>
      </c>
      <c r="D386" t="str">
        <v>administracion@cdmadridsurlatina.com</v>
      </c>
      <c r="E386" t="str">
        <v>629074201</v>
      </c>
      <c r="F386" t="str">
        <v>Fútbol · RFFM</v>
      </c>
      <c r="G386" t="str">
        <v>Nuevo</v>
      </c>
      <c r="H386" t="str">
        <v/>
      </c>
      <c r="I386" t="str">
        <v/>
      </c>
      <c r="J386" t="str">
        <v>0</v>
      </c>
      <c r="K386" t="str">
        <v/>
      </c>
      <c r="L386" t="str">
        <v>Enviar Email 1</v>
      </c>
      <c r="M386" t="str">
        <v/>
      </c>
      <c r="N386" t="str">
        <v>18 equipos · Pres: ANGEL CUESTA PEREZ · IG:@madridsurlatina</v>
      </c>
    </row>
    <row r="387">
      <c r="A387" t="str">
        <v>CDE TONI KROOS ACADEMY</v>
      </c>
      <c r="B387" t="str">
        <v>Boadilla Del Monte, Madrid</v>
      </c>
      <c r="C387" t="str">
        <v>verificar</v>
      </c>
      <c r="D387" t="str">
        <v>madrid@tonikroos-academy.com</v>
      </c>
      <c r="E387" t="str">
        <v>694241649</v>
      </c>
      <c r="F387" t="str">
        <v>Fútbol · RFFM</v>
      </c>
      <c r="G387" t="str">
        <v>Nuevo</v>
      </c>
      <c r="H387" t="str">
        <v/>
      </c>
      <c r="I387" t="str">
        <v/>
      </c>
      <c r="J387" t="str">
        <v>0</v>
      </c>
      <c r="K387" t="str">
        <v/>
      </c>
      <c r="L387" t="str">
        <v>Enviar Email 1</v>
      </c>
      <c r="M387" t="str">
        <v/>
      </c>
      <c r="N387" t="str">
        <v>16 equipos · Pres: TONI KROOS</v>
      </c>
    </row>
    <row r="388">
      <c r="A388" t="str">
        <v>C.D. ESC. FUT. HORRILLO DE LEGANES</v>
      </c>
      <c r="B388" t="str">
        <v>Leganés, Madrid</v>
      </c>
      <c r="C388" t="str">
        <v>https://escuelahorrillo@gmail.com</v>
      </c>
      <c r="D388" t="str">
        <v>escuelafbl@terra.es</v>
      </c>
      <c r="E388" t="str">
        <v>687296019</v>
      </c>
      <c r="F388" t="str">
        <v>Fútbol · RFFM</v>
      </c>
      <c r="G388" t="str">
        <v>Nuevo</v>
      </c>
      <c r="H388" t="str">
        <v/>
      </c>
      <c r="I388" t="str">
        <v/>
      </c>
      <c r="J388" t="str">
        <v>0</v>
      </c>
      <c r="K388" t="str">
        <v/>
      </c>
      <c r="L388" t="str">
        <v>Enviar Email 1</v>
      </c>
      <c r="M388" t="str">
        <v/>
      </c>
      <c r="N388" t="str">
        <v>4 equipos · Pres: BONIFACIO HORRILLO CALVO</v>
      </c>
    </row>
    <row r="389">
      <c r="A389" t="str">
        <v>C.D. ATLETICO ALUCHE C.F.</v>
      </c>
      <c r="B389" t="str">
        <v>Madrid, Madrid</v>
      </c>
      <c r="C389" t="str">
        <v>verificar</v>
      </c>
      <c r="D389" t="str">
        <v>coordinacioncdatleticoaluche@gmail.com</v>
      </c>
      <c r="E389" t="str">
        <v>619780107</v>
      </c>
      <c r="F389" t="str">
        <v>Fútbol · RFFM</v>
      </c>
      <c r="G389" t="str">
        <v>Nuevo</v>
      </c>
      <c r="H389" t="str">
        <v/>
      </c>
      <c r="I389" t="str">
        <v/>
      </c>
      <c r="J389" t="str">
        <v>0</v>
      </c>
      <c r="K389" t="str">
        <v/>
      </c>
      <c r="L389" t="str">
        <v>Enviar Email 1</v>
      </c>
      <c r="M389" t="str">
        <v/>
      </c>
      <c r="N389" t="str">
        <v>1 equipos · Pres: GONZALO GARCIA AVILES</v>
      </c>
    </row>
    <row r="390">
      <c r="A390" t="str">
        <v>C.D. SPORTING LAGUNA</v>
      </c>
      <c r="B390" t="str">
        <v>Madrid, Madrid</v>
      </c>
      <c r="C390" t="str">
        <v>https://sportinglaguna.es</v>
      </c>
      <c r="D390" t="str">
        <v>Info@cdsportinglaguna.com</v>
      </c>
      <c r="E390" t="str">
        <v>663630419</v>
      </c>
      <c r="F390" t="str">
        <v>Fútbol · RFFM</v>
      </c>
      <c r="G390" t="str">
        <v>Nuevo</v>
      </c>
      <c r="H390" t="str">
        <v/>
      </c>
      <c r="I390" t="str">
        <v/>
      </c>
      <c r="J390" t="str">
        <v>0</v>
      </c>
      <c r="K390" t="str">
        <v/>
      </c>
      <c r="L390" t="str">
        <v>Enviar Email 1</v>
      </c>
      <c r="M390" t="str">
        <v/>
      </c>
      <c r="N390" t="str">
        <v>8 equipos · Pres: RODRIGO CARUS GARCIA OYANA · IG:cdsportinglaguna</v>
      </c>
    </row>
    <row r="391">
      <c r="A391" t="str">
        <v>C.D. TORRELAGUNA VILLA</v>
      </c>
      <c r="B391" t="str">
        <v>Torrelaguna, Madrid</v>
      </c>
      <c r="C391" t="str">
        <v>https://gema-choopf@hotmail.com</v>
      </c>
      <c r="D391" t="str">
        <v>oscarmunoz@grupotrc.com</v>
      </c>
      <c r="E391" t="str">
        <v>918430809</v>
      </c>
      <c r="F391" t="str">
        <v>Fútbol · RFFM</v>
      </c>
      <c r="G391" t="str">
        <v>Nuevo</v>
      </c>
      <c r="H391" t="str">
        <v/>
      </c>
      <c r="I391" t="str">
        <v/>
      </c>
      <c r="J391" t="str">
        <v>0</v>
      </c>
      <c r="K391" t="str">
        <v/>
      </c>
      <c r="L391" t="str">
        <v>Enviar Email 1</v>
      </c>
      <c r="M391" t="str">
        <v/>
      </c>
      <c r="N391" t="str">
        <v>11 equipos · Pres: PEDRO OSCAR SAEZ PILAR</v>
      </c>
    </row>
    <row r="392">
      <c r="A392" t="str">
        <v>LA MORALEJA C.F.</v>
      </c>
      <c r="B392" t="str">
        <v>Alcobendas, Madrid</v>
      </c>
      <c r="C392" t="str">
        <v>https://www.moralejacf.com</v>
      </c>
      <c r="D392" t="str">
        <v>contacto@moralejacf.com</v>
      </c>
      <c r="E392" t="str">
        <v>687460499</v>
      </c>
      <c r="F392" t="str">
        <v>Fútbol · RFFM</v>
      </c>
      <c r="G392" t="str">
        <v>Nuevo</v>
      </c>
      <c r="H392" t="str">
        <v/>
      </c>
      <c r="I392" t="str">
        <v/>
      </c>
      <c r="J392" t="str">
        <v>0</v>
      </c>
      <c r="K392" t="str">
        <v/>
      </c>
      <c r="L392" t="str">
        <v>Enviar Email 1</v>
      </c>
      <c r="M392" t="str">
        <v/>
      </c>
      <c r="N392" t="str">
        <v>30 equipos · Pres: JOSE MANUEL DAVILA ALASTRUE · IG:@lamoraleja.cf</v>
      </c>
    </row>
    <row r="393">
      <c r="A393" t="str">
        <v>C.D. CONDE ORGAZ</v>
      </c>
      <c r="B393" t="str">
        <v>Madrid, Madrid</v>
      </c>
      <c r="C393" t="str">
        <v>verificar</v>
      </c>
      <c r="D393" t="str">
        <v>cdcondeorgaz@hotmail.es</v>
      </c>
      <c r="E393" t="str">
        <v>686166390</v>
      </c>
      <c r="F393" t="str">
        <v>Fútbol · RFFM</v>
      </c>
      <c r="G393" t="str">
        <v>Nuevo</v>
      </c>
      <c r="H393" t="str">
        <v/>
      </c>
      <c r="I393" t="str">
        <v/>
      </c>
      <c r="J393" t="str">
        <v>0</v>
      </c>
      <c r="K393" t="str">
        <v/>
      </c>
      <c r="L393" t="str">
        <v>Enviar Email 1</v>
      </c>
      <c r="M393" t="str">
        <v/>
      </c>
      <c r="N393" t="str">
        <v>1 equipos · Pres: LUIS RANCHAL SAMANIEGO</v>
      </c>
    </row>
    <row r="394">
      <c r="A394" t="str">
        <v>C.F. COLLADO VILLALBA</v>
      </c>
      <c r="B394" t="str">
        <v>Collado Villalba, Madrid</v>
      </c>
      <c r="C394" t="str">
        <v>https://www.cfcolladovillalba.com</v>
      </c>
      <c r="D394" t="str">
        <v>tudela.salcedo@hotmail.com</v>
      </c>
      <c r="E394" t="str">
        <v>659955696</v>
      </c>
      <c r="F394" t="str">
        <v>Fútbol · RFFM</v>
      </c>
      <c r="G394" t="str">
        <v>Nuevo</v>
      </c>
      <c r="H394" t="str">
        <v/>
      </c>
      <c r="I394" t="str">
        <v/>
      </c>
      <c r="J394" t="str">
        <v>0</v>
      </c>
      <c r="K394" t="str">
        <v/>
      </c>
      <c r="L394" t="str">
        <v>Enviar Email 1</v>
      </c>
      <c r="M394" t="str">
        <v/>
      </c>
      <c r="N394" t="str">
        <v>36 equipos · Pres: ANTONIO TUDELA SALCEDO</v>
      </c>
    </row>
    <row r="395">
      <c r="A395" t="str">
        <v>C.F. ATLETICO SUR</v>
      </c>
      <c r="B395" t="str">
        <v>Parla, Madrid</v>
      </c>
      <c r="C395" t="str">
        <v>https://www.cluatleticosur.jimdo.com</v>
      </c>
      <c r="D395" t="str">
        <v>clubatleticosur@hotmail.es</v>
      </c>
      <c r="E395" t="str">
        <v>661274623</v>
      </c>
      <c r="F395" t="str">
        <v>Fútbol · RFFM</v>
      </c>
      <c r="G395" t="str">
        <v>Nuevo</v>
      </c>
      <c r="H395" t="str">
        <v/>
      </c>
      <c r="I395" t="str">
        <v/>
      </c>
      <c r="J395" t="str">
        <v>0</v>
      </c>
      <c r="K395" t="str">
        <v/>
      </c>
      <c r="L395" t="str">
        <v>Enviar Email 1</v>
      </c>
      <c r="M395" t="str">
        <v/>
      </c>
      <c r="N395" t="str">
        <v>3 equipos · Pres: ELOY RAMON MUÑOZ MORENO · IG:@c.f.atleticosur.oficial</v>
      </c>
    </row>
    <row r="396">
      <c r="A396" t="str">
        <v>C.D.E. FOOTBALL DREAMS EXPERIENCE</v>
      </c>
      <c r="B396" t="str">
        <v>Pozuelo De Alarcón, Madrid</v>
      </c>
      <c r="C396" t="str">
        <v>https://www.clubfde.com</v>
      </c>
      <c r="D396" t="str">
        <v>coordinacion@clubfde.com</v>
      </c>
      <c r="E396" t="str">
        <v>649812629</v>
      </c>
      <c r="F396" t="str">
        <v>Fútbol · RFFM</v>
      </c>
      <c r="G396" t="str">
        <v>Nuevo</v>
      </c>
      <c r="H396" t="str">
        <v/>
      </c>
      <c r="I396" t="str">
        <v/>
      </c>
      <c r="J396" t="str">
        <v>0</v>
      </c>
      <c r="K396" t="str">
        <v/>
      </c>
      <c r="L396" t="str">
        <v>Enviar Email 1</v>
      </c>
      <c r="M396" t="str">
        <v/>
      </c>
      <c r="N396" t="str">
        <v>23 equipos · Pres: ROSA NOELIA VIDAL UGALDE · FB:Club FDE · IG:@clubfde</v>
      </c>
    </row>
    <row r="397">
      <c r="A397" t="str">
        <v>C.D. A.V. ZARZAQUEMADA</v>
      </c>
      <c r="B397" t="str">
        <v>Leganés, Madrid</v>
      </c>
      <c r="C397" t="str">
        <v>https://www.cdavzarza.com</v>
      </c>
      <c r="D397" t="str">
        <v>cd.av.zarzaquemada@gmail.com</v>
      </c>
      <c r="E397" t="str">
        <v>916889187</v>
      </c>
      <c r="F397" t="str">
        <v>Fútbol · RFFM</v>
      </c>
      <c r="G397" t="str">
        <v>Nuevo</v>
      </c>
      <c r="H397" t="str">
        <v/>
      </c>
      <c r="I397" t="str">
        <v/>
      </c>
      <c r="J397" t="str">
        <v>0</v>
      </c>
      <c r="K397" t="str">
        <v/>
      </c>
      <c r="L397" t="str">
        <v>Enviar Email 1</v>
      </c>
      <c r="M397" t="str">
        <v/>
      </c>
      <c r="N397" t="str">
        <v>3 equipos · Pres: BARTOLOME GUZMAN NEVADO · IG:@cdavzarzaquemada</v>
      </c>
    </row>
    <row r="398">
      <c r="A398" t="str">
        <v>C.D.E. MALASAÑA F.C.</v>
      </c>
      <c r="B398" t="str">
        <v>Madrid, Madrid</v>
      </c>
      <c r="C398" t="str">
        <v>verificar</v>
      </c>
      <c r="D398" t="str">
        <v>edutama2009@hotmail.com</v>
      </c>
      <c r="E398" t="str">
        <v>619168237</v>
      </c>
      <c r="F398" t="str">
        <v>Fútbol · RFFM</v>
      </c>
      <c r="G398" t="str">
        <v>Nuevo</v>
      </c>
      <c r="H398" t="str">
        <v/>
      </c>
      <c r="I398" t="str">
        <v/>
      </c>
      <c r="J398" t="str">
        <v>0</v>
      </c>
      <c r="K398" t="str">
        <v/>
      </c>
      <c r="L398" t="str">
        <v>Enviar Email 1</v>
      </c>
      <c r="M398" t="str">
        <v/>
      </c>
      <c r="N398" t="str">
        <v>10 equipos · Pres: EDWARD TOMANENG CONCEPCION</v>
      </c>
    </row>
    <row r="399">
      <c r="A399" t="str">
        <v>UNION DEPORTIVA SAN AGUSTIN DEL GUADALIX</v>
      </c>
      <c r="B399" t="str">
        <v>San Agustín Del Guadalix, Madrid</v>
      </c>
      <c r="C399" t="str">
        <v>https://www.uniondeportivasanagustin.com</v>
      </c>
      <c r="D399" t="str">
        <v>udsag2013@gmail.com</v>
      </c>
      <c r="E399" t="str">
        <v>610082501</v>
      </c>
      <c r="F399" t="str">
        <v>Fútbol · RFFM</v>
      </c>
      <c r="G399" t="str">
        <v>Nuevo</v>
      </c>
      <c r="H399" t="str">
        <v/>
      </c>
      <c r="I399" t="str">
        <v/>
      </c>
      <c r="J399" t="str">
        <v>0</v>
      </c>
      <c r="K399" t="str">
        <v/>
      </c>
      <c r="L399" t="str">
        <v>Enviar Email 1</v>
      </c>
      <c r="M399" t="str">
        <v/>
      </c>
      <c r="N399" t="str">
        <v>12 equipos · Pres: PABLO RIVAS DE LA PUENTE</v>
      </c>
    </row>
    <row r="400">
      <c r="A400" t="str">
        <v>C.D. SEK EL CASTILLO</v>
      </c>
      <c r="B400" t="str">
        <v>Villanueva De La Cañada, Madrid</v>
      </c>
      <c r="C400" t="str">
        <v>verificar</v>
      </c>
      <c r="D400" t="str">
        <v>delcoroiribe@ucjc.edu</v>
      </c>
      <c r="E400" t="str">
        <v>918153131</v>
      </c>
      <c r="F400" t="str">
        <v>Fútbol · RFFM</v>
      </c>
      <c r="G400" t="str">
        <v>Nuevo</v>
      </c>
      <c r="H400" t="str">
        <v/>
      </c>
      <c r="I400" t="str">
        <v/>
      </c>
      <c r="J400" t="str">
        <v>0</v>
      </c>
      <c r="K400" t="str">
        <v/>
      </c>
      <c r="L400" t="str">
        <v>Enviar Email 1</v>
      </c>
      <c r="M400" t="str">
        <v/>
      </c>
      <c r="N400" t="str">
        <v>4 equipos · Pres: ELOISA LOPEZ MARTIN</v>
      </c>
    </row>
    <row r="401">
      <c r="A401" t="str">
        <v>ATLETICO ARTILLEROS</v>
      </c>
      <c r="B401" t="str">
        <v>Madrid, Madrid</v>
      </c>
      <c r="C401" t="str">
        <v>https://www.atleticoartilleros.com</v>
      </c>
      <c r="D401" t="str">
        <v>carlosbuzon.redpiso@gmail.com</v>
      </c>
      <c r="E401" t="str">
        <v>685187378</v>
      </c>
      <c r="F401" t="str">
        <v>Fútbol · RFFM</v>
      </c>
      <c r="G401" t="str">
        <v>Nuevo</v>
      </c>
      <c r="H401" t="str">
        <v/>
      </c>
      <c r="I401" t="str">
        <v/>
      </c>
      <c r="J401" t="str">
        <v>0</v>
      </c>
      <c r="K401" t="str">
        <v/>
      </c>
      <c r="L401" t="str">
        <v>Enviar Email 1</v>
      </c>
      <c r="M401" t="str">
        <v/>
      </c>
      <c r="N401" t="str">
        <v>2 equipos · Pres: CARLOS EDUARDO BUZON PEREZ · FB:https://es-es.facebook.com/atletico.artilleros · IG:www.instagram.com/atleticoartilleros</v>
      </c>
    </row>
    <row r="402">
      <c r="A402" t="str">
        <v>S.A.D. CODEC DE MADRID</v>
      </c>
      <c r="B402" t="str">
        <v>Madrid, Madrid</v>
      </c>
      <c r="C402" t="str">
        <v>https://www.clubcodec.es</v>
      </c>
      <c r="D402" t="str">
        <v>futbolcodec@gmail.com</v>
      </c>
      <c r="E402" t="str">
        <v>627819118</v>
      </c>
      <c r="F402" t="str">
        <v>Fútbol · RFFM</v>
      </c>
      <c r="G402" t="str">
        <v>Nuevo</v>
      </c>
      <c r="H402" t="str">
        <v/>
      </c>
      <c r="I402" t="str">
        <v/>
      </c>
      <c r="J402" t="str">
        <v>0</v>
      </c>
      <c r="K402" t="str">
        <v/>
      </c>
      <c r="L402" t="str">
        <v>Enviar Email 1</v>
      </c>
      <c r="M402" t="str">
        <v/>
      </c>
      <c r="N402" t="str">
        <v>7 equipos · Pres: JULIO IÑIGUEZ ESTREMIANA</v>
      </c>
    </row>
    <row r="403">
      <c r="A403" t="str">
        <v>C.D. ESCUELA BREOGAN</v>
      </c>
      <c r="B403" t="str">
        <v>Madrid, Madrid</v>
      </c>
      <c r="C403" t="str">
        <v>https://escuelabreogan.com</v>
      </c>
      <c r="D403" t="str">
        <v>cdescuelabreogan@gmail.com</v>
      </c>
      <c r="E403" t="str">
        <v>910578829</v>
      </c>
      <c r="F403" t="str">
        <v>Fútbol · RFFM</v>
      </c>
      <c r="G403" t="str">
        <v>Nuevo</v>
      </c>
      <c r="H403" t="str">
        <v/>
      </c>
      <c r="I403" t="str">
        <v/>
      </c>
      <c r="J403" t="str">
        <v>0</v>
      </c>
      <c r="K403" t="str">
        <v/>
      </c>
      <c r="L403" t="str">
        <v>Enviar Email 1</v>
      </c>
      <c r="M403" t="str">
        <v/>
      </c>
      <c r="N403" t="str">
        <v>26 equipos · Pres: PALOMA CID CAMPOS</v>
      </c>
    </row>
    <row r="404">
      <c r="A404" t="str">
        <v>E.M.F. DE CARABAÑA</v>
      </c>
      <c r="B404" t="str">
        <v>Carabaña, Madrid</v>
      </c>
      <c r="C404" t="str">
        <v>verificar</v>
      </c>
      <c r="D404" t="str">
        <v>emfcarabana@gmail.com</v>
      </c>
      <c r="E404" t="str">
        <v>605962719</v>
      </c>
      <c r="F404" t="str">
        <v>Fútbol · RFFM</v>
      </c>
      <c r="G404" t="str">
        <v>Nuevo</v>
      </c>
      <c r="H404" t="str">
        <v/>
      </c>
      <c r="I404" t="str">
        <v/>
      </c>
      <c r="J404" t="str">
        <v>0</v>
      </c>
      <c r="K404" t="str">
        <v/>
      </c>
      <c r="L404" t="str">
        <v>Enviar Email 1</v>
      </c>
      <c r="M404" t="str">
        <v/>
      </c>
      <c r="N404" t="str">
        <v>4 equipos · Pres: JOSE ANTONIO GOMEZ GARCIA</v>
      </c>
    </row>
    <row r="405">
      <c r="A405" t="str">
        <v>C.D. SANTA BARBARA GETAFE</v>
      </c>
      <c r="B405" t="str">
        <v>Getafe, Madrid</v>
      </c>
      <c r="C405" t="str">
        <v>https://www.cdesantabarbara.es</v>
      </c>
      <c r="D405" t="str">
        <v>joseluisdelamata@hotmail.com</v>
      </c>
      <c r="E405" t="str">
        <v>685179509</v>
      </c>
      <c r="F405" t="str">
        <v>Fútbol · RFFM</v>
      </c>
      <c r="G405" t="str">
        <v>Nuevo</v>
      </c>
      <c r="H405" t="str">
        <v/>
      </c>
      <c r="I405" t="str">
        <v/>
      </c>
      <c r="J405" t="str">
        <v>0</v>
      </c>
      <c r="K405" t="str">
        <v/>
      </c>
      <c r="L405" t="str">
        <v>Enviar Email 1</v>
      </c>
      <c r="M405" t="str">
        <v/>
      </c>
      <c r="N405" t="str">
        <v>28 equipos · Pres: MIGUEL ANGEL LUCAS CAZALLAS</v>
      </c>
    </row>
    <row r="406">
      <c r="A406" t="str">
        <v>C.D. ISIDORO SAN JOSE</v>
      </c>
      <c r="B406" t="str">
        <v>Madrid, Madrid</v>
      </c>
      <c r="C406" t="str">
        <v>verificar</v>
      </c>
      <c r="D406" t="str">
        <v>isanjose@sanjosesp.com</v>
      </c>
      <c r="E406" t="str">
        <v>917594444</v>
      </c>
      <c r="F406" t="str">
        <v>Fútbol · RFFM</v>
      </c>
      <c r="G406" t="str">
        <v>Nuevo</v>
      </c>
      <c r="H406" t="str">
        <v/>
      </c>
      <c r="I406" t="str">
        <v/>
      </c>
      <c r="J406" t="str">
        <v>0</v>
      </c>
      <c r="K406" t="str">
        <v/>
      </c>
      <c r="L406" t="str">
        <v>Enviar Email 1</v>
      </c>
      <c r="M406" t="str">
        <v/>
      </c>
      <c r="N406" t="str">
        <v>4 equipos · Pres: ISIDORO SAN JOSE POZO</v>
      </c>
    </row>
    <row r="407">
      <c r="A407" t="str">
        <v>C.D.E. REMAR C.F.</v>
      </c>
      <c r="B407" t="str">
        <v>Ajalvir, Madrid</v>
      </c>
      <c r="C407" t="str">
        <v>verificar</v>
      </c>
      <c r="D407" t="str">
        <v>aser@visual777.com</v>
      </c>
      <c r="E407" t="str">
        <v>659944867</v>
      </c>
      <c r="F407" t="str">
        <v>Fútbol · RFFM</v>
      </c>
      <c r="G407" t="str">
        <v>Nuevo</v>
      </c>
      <c r="H407" t="str">
        <v/>
      </c>
      <c r="I407" t="str">
        <v/>
      </c>
      <c r="J407" t="str">
        <v>0</v>
      </c>
      <c r="K407" t="str">
        <v/>
      </c>
      <c r="L407" t="str">
        <v>Enviar Email 1</v>
      </c>
      <c r="M407" t="str">
        <v/>
      </c>
      <c r="N407" t="str">
        <v>1 equipos · Pres: RAMON PASTRANA SANCHEZ</v>
      </c>
    </row>
    <row r="408">
      <c r="A408" t="str">
        <v>C.D. SAMPER</v>
      </c>
      <c r="B408" t="str">
        <v>Coslada, Madrid</v>
      </c>
      <c r="C408" t="str">
        <v>https://www.cdsamper.com</v>
      </c>
      <c r="D408" t="str">
        <v>info@cdsamper.com</v>
      </c>
      <c r="E408" t="str">
        <v>619900332</v>
      </c>
      <c r="F408" t="str">
        <v>Fútbol · RFFM</v>
      </c>
      <c r="G408" t="str">
        <v>Nuevo</v>
      </c>
      <c r="H408" t="str">
        <v/>
      </c>
      <c r="I408" t="str">
        <v/>
      </c>
      <c r="J408" t="str">
        <v>0</v>
      </c>
      <c r="K408" t="str">
        <v/>
      </c>
      <c r="L408" t="str">
        <v>Enviar Email 1</v>
      </c>
      <c r="M408" t="str">
        <v/>
      </c>
      <c r="N408" t="str">
        <v>25 equipos · Pres: MARIANO HERRERO ANTOLINO · FB:www.facebook.com/cdsamper · IG:www.instagram.com/cdsamper</v>
      </c>
    </row>
    <row r="409">
      <c r="A409" t="str">
        <v>C.D. PARACUELLOS SPORT</v>
      </c>
      <c r="B409" t="str">
        <v>Paracuellos De Jarama, Madrid</v>
      </c>
      <c r="C409" t="str">
        <v>https://www.cdparacuellossport.es</v>
      </c>
      <c r="D409" t="str">
        <v>cdeparacuellossport@gmail.com</v>
      </c>
      <c r="E409" t="str">
        <v>656308572</v>
      </c>
      <c r="F409" t="str">
        <v>Fútbol · RFFM</v>
      </c>
      <c r="G409" t="str">
        <v>Nuevo</v>
      </c>
      <c r="H409" t="str">
        <v/>
      </c>
      <c r="I409" t="str">
        <v/>
      </c>
      <c r="J409" t="str">
        <v>0</v>
      </c>
      <c r="K409" t="str">
        <v/>
      </c>
      <c r="L409" t="str">
        <v>Enviar Email 1</v>
      </c>
      <c r="M409" t="str">
        <v/>
      </c>
      <c r="N409" t="str">
        <v>22 equipos · Pres: DAVID VAQUERIZA SANCHEZ</v>
      </c>
    </row>
    <row r="410">
      <c r="A410" t="str">
        <v>C.D. ELECTROCOR LAS ROZAS C.F.</v>
      </c>
      <c r="B410" t="str">
        <v>Las Rozas de Madrid, Madrid</v>
      </c>
      <c r="C410" t="str">
        <v>https://www.elclasrozascf.es</v>
      </c>
      <c r="D410" t="str">
        <v>gerente@elclasrozascf.es</v>
      </c>
      <c r="E410" t="str">
        <v>699569162</v>
      </c>
      <c r="F410" t="str">
        <v>Fútbol · RFFM</v>
      </c>
      <c r="G410" t="str">
        <v>Nuevo</v>
      </c>
      <c r="H410" t="str">
        <v/>
      </c>
      <c r="I410" t="str">
        <v/>
      </c>
      <c r="J410" t="str">
        <v>0</v>
      </c>
      <c r="K410" t="str">
        <v/>
      </c>
      <c r="L410" t="str">
        <v>Enviar Email 1</v>
      </c>
      <c r="M410" t="str">
        <v/>
      </c>
      <c r="N410" t="str">
        <v>22 equipos · Pres: FRANCISCO JAVIER ARROYO SANCHEZ</v>
      </c>
    </row>
    <row r="411">
      <c r="A411" t="str">
        <v>CDE INTER PROMESAS</v>
      </c>
      <c r="B411" t="str">
        <v>Madrid, Madrid</v>
      </c>
      <c r="C411" t="str">
        <v>verificar</v>
      </c>
      <c r="D411" t="str">
        <v>cdinterpromesas@Gmail.com</v>
      </c>
      <c r="E411" t="str">
        <v>629910125</v>
      </c>
      <c r="F411" t="str">
        <v>Fútbol · RFFM</v>
      </c>
      <c r="G411" t="str">
        <v>Nuevo</v>
      </c>
      <c r="H411" t="str">
        <v/>
      </c>
      <c r="I411" t="str">
        <v/>
      </c>
      <c r="J411" t="str">
        <v>0</v>
      </c>
      <c r="K411" t="str">
        <v/>
      </c>
      <c r="L411" t="str">
        <v>Enviar Email 1</v>
      </c>
      <c r="M411" t="str">
        <v/>
      </c>
      <c r="N411" t="str">
        <v>26 equipos · Pres: DIEGO SANZ PERIANE</v>
      </c>
    </row>
    <row r="412">
      <c r="A412" t="str">
        <v>RIVAS FUTBOL CLUB</v>
      </c>
      <c r="B412" t="str">
        <v>Rivas-Vaciamadrid, Madrid</v>
      </c>
      <c r="C412" t="str">
        <v>https://www.rivasfutbolclub.com</v>
      </c>
      <c r="D412" t="str">
        <v>administrador@rivasfutbolclub.com</v>
      </c>
      <c r="E412" t="str">
        <v>644361875</v>
      </c>
      <c r="F412" t="str">
        <v>Fútbol · RFFM</v>
      </c>
      <c r="G412" t="str">
        <v>Nuevo</v>
      </c>
      <c r="H412" t="str">
        <v/>
      </c>
      <c r="I412" t="str">
        <v/>
      </c>
      <c r="J412" t="str">
        <v>0</v>
      </c>
      <c r="K412" t="str">
        <v/>
      </c>
      <c r="L412" t="str">
        <v>Enviar Email 1</v>
      </c>
      <c r="M412" t="str">
        <v/>
      </c>
      <c r="N412" t="str">
        <v>30 equipos · Pres: JULIAN INDIANO PEINADO · FB:Rivas Fútbol Club · IG:@rivasfutbolclub</v>
      </c>
    </row>
    <row r="413">
      <c r="A413" t="str">
        <v>C.D. CANDIL LEGANES</v>
      </c>
      <c r="B413" t="str">
        <v>Leganés, Madrid</v>
      </c>
      <c r="C413" t="str">
        <v>https://candilleganes@hotmail.es</v>
      </c>
      <c r="D413" t="str">
        <v>candilleganes@hotmail.es</v>
      </c>
      <c r="E413" t="str">
        <v>646348675</v>
      </c>
      <c r="F413" t="str">
        <v>Fútbol · RFFM</v>
      </c>
      <c r="G413" t="str">
        <v>Nuevo</v>
      </c>
      <c r="H413" t="str">
        <v/>
      </c>
      <c r="I413" t="str">
        <v/>
      </c>
      <c r="J413" t="str">
        <v>0</v>
      </c>
      <c r="K413" t="str">
        <v/>
      </c>
      <c r="L413" t="str">
        <v>Enviar Email 1</v>
      </c>
      <c r="M413" t="str">
        <v/>
      </c>
      <c r="N413" t="str">
        <v>9 equipos · Pres: FELIX BLAZQUEZ GONZALEZ · IG:candilleganesoficial</v>
      </c>
    </row>
    <row r="414">
      <c r="A414" t="str">
        <v>SAD COLEGIO MIRAMADRID</v>
      </c>
      <c r="B414" t="str">
        <v>Paracuellos De Jarama, Madrid</v>
      </c>
      <c r="C414" t="str">
        <v>https://deportes.colegiomiramadrid.es</v>
      </c>
      <c r="D414" t="str">
        <v>clubfutbol@colegiomiramadrid.es</v>
      </c>
      <c r="E414" t="str">
        <v>675878807</v>
      </c>
      <c r="F414" t="str">
        <v>Fútbol · RFFM</v>
      </c>
      <c r="G414" t="str">
        <v>Nuevo</v>
      </c>
      <c r="H414" t="str">
        <v/>
      </c>
      <c r="I414" t="str">
        <v/>
      </c>
      <c r="J414" t="str">
        <v>0</v>
      </c>
      <c r="K414" t="str">
        <v/>
      </c>
      <c r="L414" t="str">
        <v>Enviar Email 1</v>
      </c>
      <c r="M414" t="str">
        <v/>
      </c>
      <c r="N414" t="str">
        <v>40 equipos · Pres: CARLOS COLLADOS CARRETERO</v>
      </c>
    </row>
    <row r="415">
      <c r="A415" t="str">
        <v>C.D.E. LEGASUR-RAYO</v>
      </c>
      <c r="B415" t="str">
        <v>Leganés, Madrid</v>
      </c>
      <c r="C415" t="str">
        <v>verificar</v>
      </c>
      <c r="D415" t="str">
        <v>legasurrayoleganes@gmail.com</v>
      </c>
      <c r="E415" t="str">
        <v>666126886</v>
      </c>
      <c r="F415" t="str">
        <v>Fútbol · RFFM</v>
      </c>
      <c r="G415" t="str">
        <v>Nuevo</v>
      </c>
      <c r="H415" t="str">
        <v/>
      </c>
      <c r="I415" t="str">
        <v/>
      </c>
      <c r="J415" t="str">
        <v>0</v>
      </c>
      <c r="K415" t="str">
        <v/>
      </c>
      <c r="L415" t="str">
        <v>Enviar Email 1</v>
      </c>
      <c r="M415" t="str">
        <v/>
      </c>
      <c r="N415" t="str">
        <v>8 equipos · Pres: JOSE OROZCO CRISOSTOMO</v>
      </c>
    </row>
    <row r="416">
      <c r="A416" t="str">
        <v>C.D.E. MONTE TABOR</v>
      </c>
      <c r="B416" t="str">
        <v>Pozuelo De Alarcón, Madrid</v>
      </c>
      <c r="C416" t="str">
        <v>verificar</v>
      </c>
      <c r="D416" t="str">
        <v>actividadesextraescolares@colegiomontetabor.es</v>
      </c>
      <c r="E416" t="str">
        <v>915122138</v>
      </c>
      <c r="F416" t="str">
        <v>Fútbol · RFFM</v>
      </c>
      <c r="G416" t="str">
        <v>Nuevo</v>
      </c>
      <c r="H416" t="str">
        <v/>
      </c>
      <c r="I416" t="str">
        <v/>
      </c>
      <c r="J416" t="str">
        <v>0</v>
      </c>
      <c r="K416" t="str">
        <v/>
      </c>
      <c r="L416" t="str">
        <v>Enviar Email 1</v>
      </c>
      <c r="M416" t="str">
        <v/>
      </c>
      <c r="N416" t="str">
        <v>4 equipos · Pres: SAMUEL REYES CORROCHANO</v>
      </c>
    </row>
    <row r="417">
      <c r="A417" t="str">
        <v>C.D. ARANJUEZ BALOMPIE</v>
      </c>
      <c r="B417" t="str">
        <v>Aranjuez, Madrid</v>
      </c>
      <c r="C417" t="str">
        <v>verificar</v>
      </c>
      <c r="D417" t="str">
        <v>aranjuezbalompie@gmail.com</v>
      </c>
      <c r="E417" t="str">
        <v>647947221</v>
      </c>
      <c r="F417" t="str">
        <v>Fútbol · RFFM</v>
      </c>
      <c r="G417" t="str">
        <v>Nuevo</v>
      </c>
      <c r="H417" t="str">
        <v/>
      </c>
      <c r="I417" t="str">
        <v/>
      </c>
      <c r="J417" t="str">
        <v>0</v>
      </c>
      <c r="K417" t="str">
        <v/>
      </c>
      <c r="L417" t="str">
        <v>Enviar Email 1</v>
      </c>
      <c r="M417" t="str">
        <v/>
      </c>
      <c r="N417" t="str">
        <v>15 equipos · Pres: SERGIO PEREZ GARCIA</v>
      </c>
    </row>
    <row r="418">
      <c r="A418" t="str">
        <v>U.D. VELLON VENTURADA</v>
      </c>
      <c r="B418" t="str">
        <v>Venturada, Madrid</v>
      </c>
      <c r="C418" t="str">
        <v>https://www.instagram.com/udvv_oficial</v>
      </c>
      <c r="D418" t="str">
        <v>udvellonventurada@gmail.com</v>
      </c>
      <c r="E418" t="str">
        <v>616675315</v>
      </c>
      <c r="F418" t="str">
        <v>Fútbol · RFFM</v>
      </c>
      <c r="G418" t="str">
        <v>Nuevo</v>
      </c>
      <c r="H418" t="str">
        <v/>
      </c>
      <c r="I418" t="str">
        <v/>
      </c>
      <c r="J418" t="str">
        <v>0</v>
      </c>
      <c r="K418" t="str">
        <v/>
      </c>
      <c r="L418" t="str">
        <v>Enviar Email 1</v>
      </c>
      <c r="M418" t="str">
        <v/>
      </c>
      <c r="N418" t="str">
        <v>8 equipos · Pres: ANTONIO BRONCHALO MARTIN · FB:www.facebook.com/UDVVoficial/</v>
      </c>
    </row>
    <row r="419">
      <c r="A419" t="str">
        <v>C.D. LA MERCED</v>
      </c>
      <c r="B419" t="str">
        <v>Tres Cantos, Madrid</v>
      </c>
      <c r="C419" t="str">
        <v>https://www.mercedariastrescantos.es</v>
      </c>
      <c r="D419" t="str">
        <v>coordinadordeportivo@mercedariastrescantos.es</v>
      </c>
      <c r="E419" t="str">
        <v>606132342</v>
      </c>
      <c r="F419" t="str">
        <v>Fútbol · RFFM</v>
      </c>
      <c r="G419" t="str">
        <v>Nuevo</v>
      </c>
      <c r="H419" t="str">
        <v/>
      </c>
      <c r="I419" t="str">
        <v/>
      </c>
      <c r="J419" t="str">
        <v>0</v>
      </c>
      <c r="K419" t="str">
        <v/>
      </c>
      <c r="L419" t="str">
        <v>Enviar Email 1</v>
      </c>
      <c r="M419" t="str">
        <v/>
      </c>
      <c r="N419" t="str">
        <v>11 equipos · Pres: MARIA AUSOCOA MENDIGUREN · FB:Escuela Deportiva La Merced Tres Cantos</v>
      </c>
    </row>
    <row r="420">
      <c r="A420" t="str">
        <v>C.D. CANILLEJAS C.F.</v>
      </c>
      <c r="B420" t="str">
        <v>Madrid, Madrid</v>
      </c>
      <c r="C420" t="str">
        <v>verificar</v>
      </c>
      <c r="D420" t="str">
        <v>verificar</v>
      </c>
      <c r="E420" t="str">
        <v>608663768</v>
      </c>
      <c r="F420" t="str">
        <v>Fútbol · RFFM</v>
      </c>
      <c r="G420" t="str">
        <v>Nuevo</v>
      </c>
      <c r="H420" t="str">
        <v/>
      </c>
      <c r="I420" t="str">
        <v/>
      </c>
      <c r="J420" t="str">
        <v>0</v>
      </c>
      <c r="K420" t="str">
        <v/>
      </c>
      <c r="L420" t="str">
        <v>Enviar Email 1</v>
      </c>
      <c r="M420" t="str">
        <v/>
      </c>
      <c r="N420" t="str">
        <v>12 equipos · Pres: CRISTIAN MUÑOZ MARTIN</v>
      </c>
    </row>
    <row r="421">
      <c r="A421" t="str">
        <v>C.D. CIUDAD DE LEGANES</v>
      </c>
      <c r="B421" t="str">
        <v>Leganés, Madrid</v>
      </c>
      <c r="C421" t="str">
        <v>https://www.ciudaddeleganes.es</v>
      </c>
      <c r="D421" t="str">
        <v>cdciudaddeleganes@gmail.com</v>
      </c>
      <c r="E421" t="str">
        <v>662630033</v>
      </c>
      <c r="F421" t="str">
        <v>Fútbol · RFFM</v>
      </c>
      <c r="G421" t="str">
        <v>Nuevo</v>
      </c>
      <c r="H421" t="str">
        <v/>
      </c>
      <c r="I421" t="str">
        <v/>
      </c>
      <c r="J421" t="str">
        <v>0</v>
      </c>
      <c r="K421" t="str">
        <v/>
      </c>
      <c r="L421" t="str">
        <v>Enviar Email 1</v>
      </c>
      <c r="M421" t="str">
        <v/>
      </c>
      <c r="N421" t="str">
        <v>1 equipos · Pres: MANUEL FELIX FERNANDEZ SANJUAN</v>
      </c>
    </row>
    <row r="422">
      <c r="A422" t="str">
        <v>C.D. HIGHLANDS EL ENCINAR</v>
      </c>
      <c r="B422" t="str">
        <v>Madrid, Madrid</v>
      </c>
      <c r="C422" t="str">
        <v>verificar</v>
      </c>
      <c r="D422" t="str">
        <v>mferreiro@highlandselencinar.es</v>
      </c>
      <c r="E422" t="str">
        <v>916585497</v>
      </c>
      <c r="F422" t="str">
        <v>Fútbol · RFFM</v>
      </c>
      <c r="G422" t="str">
        <v>Nuevo</v>
      </c>
      <c r="H422" t="str">
        <v/>
      </c>
      <c r="I422" t="str">
        <v/>
      </c>
      <c r="J422" t="str">
        <v>0</v>
      </c>
      <c r="K422" t="str">
        <v/>
      </c>
      <c r="L422" t="str">
        <v>Enviar Email 1</v>
      </c>
      <c r="M422" t="str">
        <v/>
      </c>
      <c r="N422" t="str">
        <v>5 equipos · Pres: AROA SANCHEZ PEREZ</v>
      </c>
    </row>
    <row r="423">
      <c r="A423" t="str">
        <v>C.D.E. AUPA</v>
      </c>
      <c r="B423" t="str">
        <v>Boadilla Del Monte, Madrid</v>
      </c>
      <c r="C423" t="str">
        <v>https://www.ef-mentemaboadilla.es</v>
      </c>
      <c r="D423" t="str">
        <v>cdeaupa@gmail.com</v>
      </c>
      <c r="E423" t="str">
        <v>638729182</v>
      </c>
      <c r="F423" t="str">
        <v>Fútbol · RFFM</v>
      </c>
      <c r="G423" t="str">
        <v>Nuevo</v>
      </c>
      <c r="H423" t="str">
        <v/>
      </c>
      <c r="I423" t="str">
        <v/>
      </c>
      <c r="J423" t="str">
        <v>0</v>
      </c>
      <c r="K423" t="str">
        <v/>
      </c>
      <c r="L423" t="str">
        <v>Enviar Email 1</v>
      </c>
      <c r="M423" t="str">
        <v/>
      </c>
      <c r="N423" t="str">
        <v>27 equipos · Pres: JAVIER MORA CONCHA</v>
      </c>
    </row>
    <row r="424">
      <c r="A424" t="str">
        <v>C.D. UNION VALDEBERNARDO</v>
      </c>
      <c r="B424" t="str">
        <v>Madrid, Madrid</v>
      </c>
      <c r="C424" t="str">
        <v>https://www.unionvb.es</v>
      </c>
      <c r="D424" t="str">
        <v>info@unionvb.es</v>
      </c>
      <c r="E424" t="str">
        <v>629329439</v>
      </c>
      <c r="F424" t="str">
        <v>Fútbol · RFFM</v>
      </c>
      <c r="G424" t="str">
        <v>Nuevo</v>
      </c>
      <c r="H424" t="str">
        <v/>
      </c>
      <c r="I424" t="str">
        <v/>
      </c>
      <c r="J424" t="str">
        <v>0</v>
      </c>
      <c r="K424" t="str">
        <v/>
      </c>
      <c r="L424" t="str">
        <v>Enviar Email 1</v>
      </c>
      <c r="M424" t="str">
        <v/>
      </c>
      <c r="N424" t="str">
        <v>27 equipos · Pres: JUAN CARLOS MARTINEZ DE HERAS</v>
      </c>
    </row>
    <row r="425">
      <c r="A425" t="str">
        <v>S.A.D. FOMENTO ALUMNI</v>
      </c>
      <c r="B425" t="str">
        <v>Madrid, Madrid</v>
      </c>
      <c r="C425" t="str">
        <v>https://sad.fomentoalumni.com/</v>
      </c>
      <c r="D425" t="str">
        <v>fomentoalumni@fomento.edu</v>
      </c>
      <c r="E425" t="str">
        <v>646521451</v>
      </c>
      <c r="F425" t="str">
        <v>Fútbol · RFFM</v>
      </c>
      <c r="G425" t="str">
        <v>Nuevo</v>
      </c>
      <c r="H425" t="str">
        <v/>
      </c>
      <c r="I425" t="str">
        <v/>
      </c>
      <c r="J425" t="str">
        <v>0</v>
      </c>
      <c r="K425" t="str">
        <v/>
      </c>
      <c r="L425" t="str">
        <v>Enviar Email 1</v>
      </c>
      <c r="M425" t="str">
        <v/>
      </c>
      <c r="N425" t="str">
        <v>3 equipos · Pres: CONCEPCION TERESA PADILLA VERDUGO · IG:instagram.com/sadfomentoalumni?igshid=MzRlODBiNWFlZA==</v>
      </c>
    </row>
    <row r="426">
      <c r="A426" t="str">
        <v>C.D. ATLETICO FUENLABREÑO</v>
      </c>
      <c r="B426" t="str">
        <v>Fuenlabrada, Madrid</v>
      </c>
      <c r="C426" t="str">
        <v>verificar</v>
      </c>
      <c r="D426" t="str">
        <v>Atleticofuenlabreno@gmail.com</v>
      </c>
      <c r="E426" t="str">
        <v>640330278</v>
      </c>
      <c r="F426" t="str">
        <v>Fútbol · RFFM</v>
      </c>
      <c r="G426" t="str">
        <v>Nuevo</v>
      </c>
      <c r="H426" t="str">
        <v/>
      </c>
      <c r="I426" t="str">
        <v/>
      </c>
      <c r="J426" t="str">
        <v>0</v>
      </c>
      <c r="K426" t="str">
        <v/>
      </c>
      <c r="L426" t="str">
        <v>Enviar Email 1</v>
      </c>
      <c r="M426" t="str">
        <v/>
      </c>
      <c r="N426" t="str">
        <v>3 equipos · Pres: SILVIA TORRES GONZALEZ · FB:C.d Atlético Fuenlabreño  · IG:@c.daletico</v>
      </c>
    </row>
    <row r="427">
      <c r="A427" t="str">
        <v>CDE CIUDAD DE CUBAS DE LA SAGRA</v>
      </c>
      <c r="B427" t="str">
        <v>Fuenlabrada, Madrid</v>
      </c>
      <c r="C427" t="str">
        <v>verificar</v>
      </c>
      <c r="D427" t="str">
        <v>ciudaddecubasdelasagra@gmail.com</v>
      </c>
      <c r="E427" t="str">
        <v>646825123</v>
      </c>
      <c r="F427" t="str">
        <v>Fútbol · RFFM</v>
      </c>
      <c r="G427" t="str">
        <v>Nuevo</v>
      </c>
      <c r="H427" t="str">
        <v/>
      </c>
      <c r="I427" t="str">
        <v/>
      </c>
      <c r="J427" t="str">
        <v>0</v>
      </c>
      <c r="K427" t="str">
        <v/>
      </c>
      <c r="L427" t="str">
        <v>Enviar Email 1</v>
      </c>
      <c r="M427" t="str">
        <v/>
      </c>
      <c r="N427" t="str">
        <v>14 equipos · Pres: CARLOS MEJIAS BAUTISTA</v>
      </c>
    </row>
    <row r="428">
      <c r="A428" t="str">
        <v>DEPORTIVO CIEMPOZUELOS</v>
      </c>
      <c r="B428" t="str">
        <v>Ciempozuelos, Madrid</v>
      </c>
      <c r="C428" t="str">
        <v>https://www.cdcciempozuelos.com</v>
      </c>
      <c r="D428" t="str">
        <v>cdcciempo@gmail.com</v>
      </c>
      <c r="E428" t="str">
        <v>650595553</v>
      </c>
      <c r="F428" t="str">
        <v>Fútbol · RFFM</v>
      </c>
      <c r="G428" t="str">
        <v>Nuevo</v>
      </c>
      <c r="H428" t="str">
        <v/>
      </c>
      <c r="I428" t="str">
        <v/>
      </c>
      <c r="J428" t="str">
        <v>0</v>
      </c>
      <c r="K428" t="str">
        <v/>
      </c>
      <c r="L428" t="str">
        <v>Enviar Email 1</v>
      </c>
      <c r="M428" t="str">
        <v/>
      </c>
      <c r="N428" t="str">
        <v>28 equipos · Pres: RUBEN RAMIREZ MUÑOZ</v>
      </c>
    </row>
    <row r="429">
      <c r="A429" t="str">
        <v>C.D. CHAMBERI DE MADRID</v>
      </c>
      <c r="B429" t="str">
        <v>Madrid, Madrid</v>
      </c>
      <c r="C429" t="str">
        <v>https://www.cdchamberi.es</v>
      </c>
      <c r="D429" t="str">
        <v>cdchamberi@gmail.com</v>
      </c>
      <c r="E429" t="str">
        <v>610633381</v>
      </c>
      <c r="F429" t="str">
        <v>Fútbol · RFFM</v>
      </c>
      <c r="G429" t="str">
        <v>Nuevo</v>
      </c>
      <c r="H429" t="str">
        <v/>
      </c>
      <c r="I429" t="str">
        <v/>
      </c>
      <c r="J429" t="str">
        <v>0</v>
      </c>
      <c r="K429" t="str">
        <v/>
      </c>
      <c r="L429" t="str">
        <v>Enviar Email 1</v>
      </c>
      <c r="M429" t="str">
        <v/>
      </c>
      <c r="N429" t="str">
        <v>21 equipos · Pres: ZOILO TRIAS GOMEZ</v>
      </c>
    </row>
    <row r="430">
      <c r="A430" t="str">
        <v>C.D. MOLAR SPORT</v>
      </c>
      <c r="B430" t="str">
        <v>Molar (El), Madrid</v>
      </c>
      <c r="C430" t="str">
        <v>https://www.molarsport.com</v>
      </c>
      <c r="D430" t="str">
        <v>verificar</v>
      </c>
      <c r="E430" t="str">
        <v>619242425</v>
      </c>
      <c r="F430" t="str">
        <v>Fútbol · RFFM</v>
      </c>
      <c r="G430" t="str">
        <v>Nuevo</v>
      </c>
      <c r="H430" t="str">
        <v/>
      </c>
      <c r="I430" t="str">
        <v/>
      </c>
      <c r="J430" t="str">
        <v>0</v>
      </c>
      <c r="K430" t="str">
        <v/>
      </c>
      <c r="L430" t="str">
        <v>Enviar Email 1</v>
      </c>
      <c r="M430" t="str">
        <v/>
      </c>
      <c r="N430" t="str">
        <v>10 equipos · Pres: HECTOR BENITEZ SANCHEZ · FB:https://www.facebook.com/MolarSport/ · IG:https://www.instagram.com/molarsport/</v>
      </c>
    </row>
    <row r="431">
      <c r="A431" t="str">
        <v>C.D. NEWMAN</v>
      </c>
      <c r="B431" t="str">
        <v>Madrid, Madrid</v>
      </c>
      <c r="C431" t="str">
        <v>https://clubdeportivonewman.org/</v>
      </c>
      <c r="D431" t="str">
        <v>direccion@newmanclubdeportivo.org</v>
      </c>
      <c r="E431" t="str">
        <v>628107011</v>
      </c>
      <c r="F431" t="str">
        <v>Fútbol · RFFM</v>
      </c>
      <c r="G431" t="str">
        <v>Nuevo</v>
      </c>
      <c r="H431" t="str">
        <v/>
      </c>
      <c r="I431" t="str">
        <v/>
      </c>
      <c r="J431" t="str">
        <v>0</v>
      </c>
      <c r="K431" t="str">
        <v/>
      </c>
      <c r="L431" t="str">
        <v>Enviar Email 1</v>
      </c>
      <c r="M431" t="str">
        <v/>
      </c>
      <c r="N431" t="str">
        <v>21 equipos · Pres: JUAN RAMON DE LA SERNA CARBAJO · IG:https://www.instagram.com/newman_clubdeportivo/</v>
      </c>
    </row>
    <row r="432">
      <c r="A432" t="str">
        <v>GIMNASTICA COLMENAREJO C.F.</v>
      </c>
      <c r="B432" t="str">
        <v>Colmenarejo, Madrid</v>
      </c>
      <c r="C432" t="str">
        <v>https://www.gimnasticacolmenarejo.es</v>
      </c>
      <c r="D432" t="str">
        <v>gcolmenarejocf@gmail.com</v>
      </c>
      <c r="E432" t="str">
        <v>606354655</v>
      </c>
      <c r="F432" t="str">
        <v>Fútbol · RFFM</v>
      </c>
      <c r="G432" t="str">
        <v>Nuevo</v>
      </c>
      <c r="H432" t="str">
        <v/>
      </c>
      <c r="I432" t="str">
        <v/>
      </c>
      <c r="J432" t="str">
        <v>0</v>
      </c>
      <c r="K432" t="str">
        <v/>
      </c>
      <c r="L432" t="str">
        <v>Enviar Email 1</v>
      </c>
      <c r="M432" t="str">
        <v/>
      </c>
      <c r="N432" t="str">
        <v>21 equipos · Pres: JUAN ANDRES SALCEDO MARTIN</v>
      </c>
    </row>
    <row r="433">
      <c r="A433" t="str">
        <v>OLIMPIC DE LAS TABLAS C.F.</v>
      </c>
      <c r="B433" t="str">
        <v>Madrid, Madrid</v>
      </c>
      <c r="C433" t="str">
        <v>https://olimpiclastablascf@gmail.com</v>
      </c>
      <c r="D433" t="str">
        <v>olimpiclastablascf@gmail.com</v>
      </c>
      <c r="E433" t="str">
        <v>617553857</v>
      </c>
      <c r="F433" t="str">
        <v>Fútbol · RFFM</v>
      </c>
      <c r="G433" t="str">
        <v>Nuevo</v>
      </c>
      <c r="H433" t="str">
        <v/>
      </c>
      <c r="I433" t="str">
        <v/>
      </c>
      <c r="J433" t="str">
        <v>0</v>
      </c>
      <c r="K433" t="str">
        <v/>
      </c>
      <c r="L433" t="str">
        <v>Enviar Email 1</v>
      </c>
      <c r="M433" t="str">
        <v/>
      </c>
      <c r="N433" t="str">
        <v>5 equipos · Pres: GRANINI ADU-GYAMFI DWSON · IG:olimpiclastablascf</v>
      </c>
    </row>
    <row r="434">
      <c r="A434" t="str">
        <v>C.D. ESTUDIANTES LAS TABLAS</v>
      </c>
      <c r="B434" t="str">
        <v>0, Madrid</v>
      </c>
      <c r="C434" t="str">
        <v>http://www.colegioestudiantes.es</v>
      </c>
      <c r="D434" t="str">
        <v>deportes@colegioestudianteslastablas.edu.es</v>
      </c>
      <c r="E434" t="str">
        <v>918250075</v>
      </c>
      <c r="F434" t="str">
        <v>Fútbol · RFFM</v>
      </c>
      <c r="G434" t="str">
        <v>Nuevo</v>
      </c>
      <c r="H434" t="str">
        <v/>
      </c>
      <c r="I434" t="str">
        <v/>
      </c>
      <c r="J434" t="str">
        <v>0</v>
      </c>
      <c r="K434" t="str">
        <v/>
      </c>
      <c r="L434" t="str">
        <v>Enviar Email 1</v>
      </c>
      <c r="M434" t="str">
        <v/>
      </c>
      <c r="N434" t="str">
        <v>15 equipos · Pres: ANTONIO MARTOS TORREJON</v>
      </c>
    </row>
    <row r="435">
      <c r="A435" t="str">
        <v>C.D. OLIMPICO DE PARLA</v>
      </c>
      <c r="B435" t="str">
        <v>Parla, Madrid</v>
      </c>
      <c r="C435" t="str">
        <v>verificar</v>
      </c>
      <c r="D435" t="str">
        <v>olimpicodeparla@hotmail.com</v>
      </c>
      <c r="E435" t="str">
        <v>628061865</v>
      </c>
      <c r="F435" t="str">
        <v>Fútbol · RFFM</v>
      </c>
      <c r="G435" t="str">
        <v>Nuevo</v>
      </c>
      <c r="H435" t="str">
        <v/>
      </c>
      <c r="I435" t="str">
        <v/>
      </c>
      <c r="J435" t="str">
        <v>0</v>
      </c>
      <c r="K435" t="str">
        <v/>
      </c>
      <c r="L435" t="str">
        <v>Enviar Email 1</v>
      </c>
      <c r="M435" t="str">
        <v/>
      </c>
      <c r="N435" t="str">
        <v>6 equipos · Pres: ABDELWAHED OUARDI</v>
      </c>
    </row>
    <row r="436">
      <c r="A436" t="str">
        <v>R.C.D. ESPANYOL DE MADRID</v>
      </c>
      <c r="B436" t="str">
        <v>Madrid, Madrid</v>
      </c>
      <c r="C436" t="str">
        <v>verificar</v>
      </c>
      <c r="D436" t="str">
        <v>rcdespanyoldemadrid@gmail.com</v>
      </c>
      <c r="E436" t="str">
        <v>660507827</v>
      </c>
      <c r="F436" t="str">
        <v>Fútbol · RFFM</v>
      </c>
      <c r="G436" t="str">
        <v>Nuevo</v>
      </c>
      <c r="H436" t="str">
        <v/>
      </c>
      <c r="I436" t="str">
        <v/>
      </c>
      <c r="J436" t="str">
        <v>0</v>
      </c>
      <c r="K436" t="str">
        <v/>
      </c>
      <c r="L436" t="str">
        <v>Enviar Email 1</v>
      </c>
      <c r="M436" t="str">
        <v/>
      </c>
      <c r="N436" t="str">
        <v>3 equipos · Pres: CARMEN MORCILLO DOMINGUEZ</v>
      </c>
    </row>
    <row r="437">
      <c r="A437" t="str">
        <v>SPORTING LAS TABLAS</v>
      </c>
      <c r="B437" t="str">
        <v>Madrid, Madrid</v>
      </c>
      <c r="C437" t="str">
        <v>https://www.facebook.com/SportingLasTablas/</v>
      </c>
      <c r="D437" t="str">
        <v>sporting_lastablas@hotmail.com</v>
      </c>
      <c r="E437" t="str">
        <v>637374948</v>
      </c>
      <c r="F437" t="str">
        <v>Fútbol · RFFM</v>
      </c>
      <c r="G437" t="str">
        <v>Nuevo</v>
      </c>
      <c r="H437" t="str">
        <v/>
      </c>
      <c r="I437" t="str">
        <v/>
      </c>
      <c r="J437" t="str">
        <v>0</v>
      </c>
      <c r="K437" t="str">
        <v/>
      </c>
      <c r="L437" t="str">
        <v>Enviar Email 1</v>
      </c>
      <c r="M437" t="str">
        <v/>
      </c>
      <c r="N437" t="str">
        <v>9 equipos · Pres: FELIX PRIETO ESTEBAN</v>
      </c>
    </row>
    <row r="438">
      <c r="A438" t="str">
        <v>S.A.D. VILLAVERDE SAN ANDRES</v>
      </c>
      <c r="B438" t="str">
        <v>Madrid, Madrid</v>
      </c>
      <c r="C438" t="str">
        <v>https://sadvillaverdeboetticher.com</v>
      </c>
      <c r="D438" t="str">
        <v>funde_vi@hotmail.com</v>
      </c>
      <c r="E438" t="str">
        <v>917983442</v>
      </c>
      <c r="F438" t="str">
        <v>Fútbol · RFFM</v>
      </c>
      <c r="G438" t="str">
        <v>Nuevo</v>
      </c>
      <c r="H438" t="str">
        <v/>
      </c>
      <c r="I438" t="str">
        <v/>
      </c>
      <c r="J438" t="str">
        <v>0</v>
      </c>
      <c r="K438" t="str">
        <v/>
      </c>
      <c r="L438" t="str">
        <v>Enviar Email 1</v>
      </c>
      <c r="M438" t="str">
        <v/>
      </c>
      <c r="N438" t="str">
        <v>11 equipos · Pres: JUAN ANTONIO COZAR PADILLA · FB:SAD Villaverde San Andrés · IG:SAD Villaverde San Andrés</v>
      </c>
    </row>
    <row r="439">
      <c r="A439" t="str">
        <v>C.F. RAYO ILLESCAS</v>
      </c>
      <c r="B439" t="str">
        <v>Parla, Madrid</v>
      </c>
      <c r="C439" t="str">
        <v>https://www.rayoillescas.com</v>
      </c>
      <c r="D439" t="str">
        <v>demetrio-rayo-illescas@hotmail.com</v>
      </c>
      <c r="E439" t="str">
        <v>659204512</v>
      </c>
      <c r="F439" t="str">
        <v>Fútbol · RFFM</v>
      </c>
      <c r="G439" t="str">
        <v>Nuevo</v>
      </c>
      <c r="H439" t="str">
        <v/>
      </c>
      <c r="I439" t="str">
        <v/>
      </c>
      <c r="J439" t="str">
        <v>0</v>
      </c>
      <c r="K439" t="str">
        <v/>
      </c>
      <c r="L439" t="str">
        <v>Enviar Email 1</v>
      </c>
      <c r="M439" t="str">
        <v/>
      </c>
      <c r="N439" t="str">
        <v>3 equipos · Pres: DEMETRIO MARTINEZ RODRIGUEZ · FB:Club De Fútbol Rayo Illescas</v>
      </c>
    </row>
    <row r="440">
      <c r="A440" t="str">
        <v>A.D. CDB ESCUELA MUNICIPAL DE FUTBOL HUMANES</v>
      </c>
      <c r="B440" t="str">
        <v>Humanes De Madrid, Madrid</v>
      </c>
      <c r="C440" t="str">
        <v>verificar</v>
      </c>
      <c r="D440" t="str">
        <v>jluis.flores10@gmail.com</v>
      </c>
      <c r="E440" t="str">
        <v>691243259</v>
      </c>
      <c r="F440" t="str">
        <v>Fútbol · RFFM</v>
      </c>
      <c r="G440" t="str">
        <v>Nuevo</v>
      </c>
      <c r="H440" t="str">
        <v/>
      </c>
      <c r="I440" t="str">
        <v/>
      </c>
      <c r="J440" t="str">
        <v>0</v>
      </c>
      <c r="K440" t="str">
        <v/>
      </c>
      <c r="L440" t="str">
        <v>Enviar Email 1</v>
      </c>
      <c r="M440" t="str">
        <v/>
      </c>
      <c r="N440" t="str">
        <v>20 equipos · Pres: DAVID MARTIN MARTIN</v>
      </c>
    </row>
    <row r="441">
      <c r="A441" t="str">
        <v>A.D. RAYO LATINA</v>
      </c>
      <c r="B441" t="str">
        <v>Madrid, Madrid</v>
      </c>
      <c r="C441" t="str">
        <v>https://emfgallur.com</v>
      </c>
      <c r="D441" t="str">
        <v>juanantonio.luque.martos@gmail.com</v>
      </c>
      <c r="E441" t="str">
        <v>649885190</v>
      </c>
      <c r="F441" t="str">
        <v>Fútbol · RFFM</v>
      </c>
      <c r="G441" t="str">
        <v>Nuevo</v>
      </c>
      <c r="H441" t="str">
        <v/>
      </c>
      <c r="I441" t="str">
        <v/>
      </c>
      <c r="J441" t="str">
        <v>0</v>
      </c>
      <c r="K441" t="str">
        <v/>
      </c>
      <c r="L441" t="str">
        <v>Enviar Email 1</v>
      </c>
      <c r="M441" t="str">
        <v/>
      </c>
      <c r="N441" t="str">
        <v>7 equipos · Pres: JUAN ANTONIO LUQUE MARTOS</v>
      </c>
    </row>
    <row r="442">
      <c r="A442" t="str">
        <v>CDE AULA C.F.</v>
      </c>
      <c r="B442" t="str">
        <v>Madrid, Madrid</v>
      </c>
      <c r="C442" t="str">
        <v>https://www.aulacf.es</v>
      </c>
      <c r="D442" t="str">
        <v>gestion@aulacf.es</v>
      </c>
      <c r="E442" t="str">
        <v>644411489</v>
      </c>
      <c r="F442" t="str">
        <v>Fútbol · RFFM</v>
      </c>
      <c r="G442" t="str">
        <v>Nuevo</v>
      </c>
      <c r="H442" t="str">
        <v/>
      </c>
      <c r="I442" t="str">
        <v/>
      </c>
      <c r="J442" t="str">
        <v>0</v>
      </c>
      <c r="K442" t="str">
        <v/>
      </c>
      <c r="L442" t="str">
        <v>Enviar Email 1</v>
      </c>
      <c r="M442" t="str">
        <v/>
      </c>
      <c r="N442" t="str">
        <v>16 equipos · Pres: DAVID LOPEZ LOPEZ</v>
      </c>
    </row>
    <row r="443">
      <c r="A443" t="str">
        <v>C.D. SP&amp;AL FUENLABRADA</v>
      </c>
      <c r="B443" t="str">
        <v>Fuenlabrada, Madrid</v>
      </c>
      <c r="C443" t="str">
        <v>https://www.escuelapachonlopez.es</v>
      </c>
      <c r="D443" t="str">
        <v>dllorente@escuelapachonlopez.es</v>
      </c>
      <c r="E443" t="str">
        <v>600424664</v>
      </c>
      <c r="F443" t="str">
        <v>Fútbol · RFFM</v>
      </c>
      <c r="G443" t="str">
        <v>Nuevo</v>
      </c>
      <c r="H443" t="str">
        <v/>
      </c>
      <c r="I443" t="str">
        <v/>
      </c>
      <c r="J443" t="str">
        <v>0</v>
      </c>
      <c r="K443" t="str">
        <v/>
      </c>
      <c r="L443" t="str">
        <v>Enviar Email 1</v>
      </c>
      <c r="M443" t="str">
        <v/>
      </c>
      <c r="N443" t="str">
        <v>16 equipos · Pres: DAVID LLORENTE FERNANDEZ</v>
      </c>
    </row>
    <row r="444">
      <c r="A444" t="str">
        <v>UNION DEPORTIVA USERA</v>
      </c>
      <c r="B444" t="str">
        <v>Madrid, Madrid</v>
      </c>
      <c r="C444" t="str">
        <v>https://uniondeportivausera.com</v>
      </c>
      <c r="D444" t="str">
        <v>uniondeportivausera@gmail.com</v>
      </c>
      <c r="E444" t="str">
        <v>628337673</v>
      </c>
      <c r="F444" t="str">
        <v>Fútbol · RFFM</v>
      </c>
      <c r="G444" t="str">
        <v>Nuevo</v>
      </c>
      <c r="H444" t="str">
        <v/>
      </c>
      <c r="I444" t="str">
        <v/>
      </c>
      <c r="J444" t="str">
        <v>0</v>
      </c>
      <c r="K444" t="str">
        <v/>
      </c>
      <c r="L444" t="str">
        <v>Enviar Email 1</v>
      </c>
      <c r="M444" t="str">
        <v/>
      </c>
      <c r="N444" t="str">
        <v>20 equipos · Pres: FRANCISCO JAVIER GONZALEZ MARTIN · FB:Unión Deportiva Usera · IG:@uniondeportivausera</v>
      </c>
    </row>
    <row r="445">
      <c r="A445" t="str">
        <v>C.D. BECERRIL DE LA SIERRA</v>
      </c>
      <c r="B445" t="str">
        <v>Becerril De La Sierra, Madrid</v>
      </c>
      <c r="C445" t="str">
        <v>verificar</v>
      </c>
      <c r="D445" t="str">
        <v>cde.becerril@gmail.com</v>
      </c>
      <c r="E445" t="str">
        <v>610250083</v>
      </c>
      <c r="F445" t="str">
        <v>Fútbol · RFFM</v>
      </c>
      <c r="G445" t="str">
        <v>Nuevo</v>
      </c>
      <c r="H445" t="str">
        <v/>
      </c>
      <c r="I445" t="str">
        <v/>
      </c>
      <c r="J445" t="str">
        <v>0</v>
      </c>
      <c r="K445" t="str">
        <v/>
      </c>
      <c r="L445" t="str">
        <v>Enviar Email 1</v>
      </c>
      <c r="M445" t="str">
        <v/>
      </c>
      <c r="N445" t="str">
        <v>8 equipos · Pres: ISRAEL JOSE TORA JUAN · FB:https://www.facebook.com/cdebecerrildelasierra/ · IG:https://www.instagram.com/cdebecerrildelas</v>
      </c>
    </row>
    <row r="446">
      <c r="A446" t="str">
        <v>UNION DEPORTIVA TORREJON DE VELASCO C.F.</v>
      </c>
      <c r="B446" t="str">
        <v>Torrejón De Velasco, Madrid</v>
      </c>
      <c r="C446" t="str">
        <v>http://udtorrejondevelasco.es/</v>
      </c>
      <c r="D446" t="str">
        <v>presidencia@udtorrejondevelasco.es</v>
      </c>
      <c r="E446" t="str">
        <v>663249952</v>
      </c>
      <c r="F446" t="str">
        <v>Fútbol · RFFM</v>
      </c>
      <c r="G446" t="str">
        <v>Nuevo</v>
      </c>
      <c r="H446" t="str">
        <v/>
      </c>
      <c r="I446" t="str">
        <v/>
      </c>
      <c r="J446" t="str">
        <v>0</v>
      </c>
      <c r="K446" t="str">
        <v/>
      </c>
      <c r="L446" t="str">
        <v>Enviar Email 1</v>
      </c>
      <c r="M446" t="str">
        <v/>
      </c>
      <c r="N446" t="str">
        <v>15 equipos · Pres: LUIS CASADO HERNANDEZ</v>
      </c>
    </row>
    <row r="447">
      <c r="A447" t="str">
        <v>VALDEMORO CLUB DE FUTBOL</v>
      </c>
      <c r="B447" t="str">
        <v>Valdemoro, Madrid</v>
      </c>
      <c r="C447" t="str">
        <v>https://www.valdemorocf.es</v>
      </c>
      <c r="D447" t="str">
        <v>valdemorocf@gmail.com</v>
      </c>
      <c r="E447" t="str">
        <v>667337967</v>
      </c>
      <c r="F447" t="str">
        <v>Fútbol · RFFM</v>
      </c>
      <c r="G447" t="str">
        <v>Nuevo</v>
      </c>
      <c r="H447" t="str">
        <v/>
      </c>
      <c r="I447" t="str">
        <v/>
      </c>
      <c r="J447" t="str">
        <v>0</v>
      </c>
      <c r="K447" t="str">
        <v/>
      </c>
      <c r="L447" t="str">
        <v>Enviar Email 1</v>
      </c>
      <c r="M447" t="str">
        <v/>
      </c>
      <c r="N447" t="str">
        <v>20 equipos · Pres: JOSE CASTILLO VILCHEZ</v>
      </c>
    </row>
    <row r="448">
      <c r="A448" t="str">
        <v>CASA DE CANARIAS</v>
      </c>
      <c r="B448" t="str">
        <v>Madrid, Madrid</v>
      </c>
      <c r="C448" t="str">
        <v>verificar</v>
      </c>
      <c r="D448" t="str">
        <v>verificar</v>
      </c>
      <c r="E448" t="str">
        <v>696941582</v>
      </c>
      <c r="F448" t="str">
        <v>Fútbol · RFFM</v>
      </c>
      <c r="G448" t="str">
        <v>Nuevo</v>
      </c>
      <c r="H448" t="str">
        <v/>
      </c>
      <c r="I448" t="str">
        <v/>
      </c>
      <c r="J448" t="str">
        <v>0</v>
      </c>
      <c r="K448" t="str">
        <v/>
      </c>
      <c r="L448" t="str">
        <v>Enviar Email 1</v>
      </c>
      <c r="M448" t="str">
        <v/>
      </c>
      <c r="N448" t="str">
        <v>1 equipos · Pres: ROBERTO MIÑO REIG</v>
      </c>
    </row>
    <row r="449">
      <c r="A449" t="str">
        <v>C.D. MINIFUTBOL TORRELODONES</v>
      </c>
      <c r="B449" t="str">
        <v>Torrelodones, Madrid</v>
      </c>
      <c r="C449" t="str">
        <v>https://www.minifutbol.com</v>
      </c>
      <c r="D449" t="str">
        <v>minifutbol.torre@gmail.com</v>
      </c>
      <c r="E449" t="str">
        <v>618149026</v>
      </c>
      <c r="F449" t="str">
        <v>Fútbol · RFFM</v>
      </c>
      <c r="G449" t="str">
        <v>Nuevo</v>
      </c>
      <c r="H449" t="str">
        <v/>
      </c>
      <c r="I449" t="str">
        <v/>
      </c>
      <c r="J449" t="str">
        <v>0</v>
      </c>
      <c r="K449" t="str">
        <v/>
      </c>
      <c r="L449" t="str">
        <v>Enviar Email 1</v>
      </c>
      <c r="M449" t="str">
        <v/>
      </c>
      <c r="N449" t="str">
        <v>19 equipos · Pres: FRANCISCO JAVIER GARCIA DE LEANIZ SALCED</v>
      </c>
    </row>
    <row r="450">
      <c r="A450" t="str">
        <v>CDB FUTBOL FEMENINO OLYMPIA LAS ROZAS</v>
      </c>
      <c r="B450" t="str">
        <v>Las Rozas de Madrid, Madrid</v>
      </c>
      <c r="C450" t="str">
        <v>https://www.cffolympia.es</v>
      </c>
      <c r="D450" t="str">
        <v>info@cfflolympia.es</v>
      </c>
      <c r="E450" t="str">
        <v>626487563</v>
      </c>
      <c r="F450" t="str">
        <v>Fútbol · RFFM</v>
      </c>
      <c r="G450" t="str">
        <v>Nuevo</v>
      </c>
      <c r="H450" t="str">
        <v/>
      </c>
      <c r="I450" t="str">
        <v/>
      </c>
      <c r="J450" t="str">
        <v>0</v>
      </c>
      <c r="K450" t="str">
        <v/>
      </c>
      <c r="L450" t="str">
        <v>Enviar Email 1</v>
      </c>
      <c r="M450" t="str">
        <v/>
      </c>
      <c r="N450" t="str">
        <v>20 equipos · Pres: IRENE MERINO FELIPE</v>
      </c>
    </row>
    <row r="451">
      <c r="A451" t="str">
        <v>C.D. FUENLABRADA EL NARANJO</v>
      </c>
      <c r="B451" t="str">
        <v>Fuenlabrada, Madrid</v>
      </c>
      <c r="C451" t="str">
        <v>https://cdefuenlabradaelnaranjo.com/</v>
      </c>
      <c r="D451" t="str">
        <v>ramonrayo13@gmail.com</v>
      </c>
      <c r="E451" t="str">
        <v>681066017</v>
      </c>
      <c r="F451" t="str">
        <v>Fútbol · RFFM</v>
      </c>
      <c r="G451" t="str">
        <v>Nuevo</v>
      </c>
      <c r="H451" t="str">
        <v/>
      </c>
      <c r="I451" t="str">
        <v/>
      </c>
      <c r="J451" t="str">
        <v>0</v>
      </c>
      <c r="K451" t="str">
        <v/>
      </c>
      <c r="L451" t="str">
        <v>Enviar Email 1</v>
      </c>
      <c r="M451" t="str">
        <v/>
      </c>
      <c r="N451" t="str">
        <v>11 equipos · Pres: RAMON GOMEZ-PIMPOLLO RUIZ · IG:https://instagram.com/cdefuenlabradaelnaranjo?igshid=OGQ5ZDc2ODk2ZA==</v>
      </c>
    </row>
    <row r="452">
      <c r="A452" t="str">
        <v>A.D. SAN PASCUAL-MONTPELLIER</v>
      </c>
      <c r="B452" t="str">
        <v>Madrid, Madrid</v>
      </c>
      <c r="C452" t="str">
        <v>https://www.sanpascualmontpellier.es</v>
      </c>
      <c r="D452" t="str">
        <v>adsanpascualmontpellier@gmail.com</v>
      </c>
      <c r="E452" t="str">
        <v>606408415</v>
      </c>
      <c r="F452" t="str">
        <v>Fútbol · RFFM</v>
      </c>
      <c r="G452" t="str">
        <v>Nuevo</v>
      </c>
      <c r="H452" t="str">
        <v/>
      </c>
      <c r="I452" t="str">
        <v/>
      </c>
      <c r="J452" t="str">
        <v>0</v>
      </c>
      <c r="K452" t="str">
        <v/>
      </c>
      <c r="L452" t="str">
        <v>Enviar Email 1</v>
      </c>
      <c r="M452" t="str">
        <v/>
      </c>
      <c r="N452" t="str">
        <v>20 equipos · Pres: JOSE ANTONIO AREVALO ALONSO · IG:adsanpascualmontpellier</v>
      </c>
    </row>
    <row r="453">
      <c r="A453" t="str">
        <v>ATLETICO DEL PILAR C.F.</v>
      </c>
      <c r="B453" t="str">
        <v>Madrid, Madrid</v>
      </c>
      <c r="C453" t="str">
        <v>verificar</v>
      </c>
      <c r="D453" t="str">
        <v>luis@atleticodelpilar.com</v>
      </c>
      <c r="E453" t="str">
        <v>910375792</v>
      </c>
      <c r="F453" t="str">
        <v>Fútbol · RFFM</v>
      </c>
      <c r="G453" t="str">
        <v>Nuevo</v>
      </c>
      <c r="H453" t="str">
        <v/>
      </c>
      <c r="I453" t="str">
        <v/>
      </c>
      <c r="J453" t="str">
        <v>0</v>
      </c>
      <c r="K453" t="str">
        <v/>
      </c>
      <c r="L453" t="str">
        <v>Enviar Email 1</v>
      </c>
      <c r="M453" t="str">
        <v/>
      </c>
      <c r="N453" t="str">
        <v>1 equipos · Pres: LUIS MIGUEL MARTINEZ LUIS</v>
      </c>
    </row>
    <row r="454">
      <c r="A454" t="str">
        <v>C.D.E. F.P.A. LAS ROZAS</v>
      </c>
      <c r="B454" t="str">
        <v>Las Rozas de Madrid, Madrid</v>
      </c>
      <c r="C454" t="str">
        <v>https://www.fpalasrozas.com</v>
      </c>
      <c r="D454" t="str">
        <v>contacto@fpalasrozas.com</v>
      </c>
      <c r="E454" t="str">
        <v>609888414</v>
      </c>
      <c r="F454" t="str">
        <v>Fútbol · RFFM</v>
      </c>
      <c r="G454" t="str">
        <v>Nuevo</v>
      </c>
      <c r="H454" t="str">
        <v/>
      </c>
      <c r="I454" t="str">
        <v/>
      </c>
      <c r="J454" t="str">
        <v>0</v>
      </c>
      <c r="K454" t="str">
        <v/>
      </c>
      <c r="L454" t="str">
        <v>Enviar Email 1</v>
      </c>
      <c r="M454" t="str">
        <v/>
      </c>
      <c r="N454" t="str">
        <v>28 equipos · Pres: JOSE CARLOS PEREZ-CASCALLANA ALVAREZ</v>
      </c>
    </row>
    <row r="455">
      <c r="A455" t="str">
        <v>U.D. LAS MATAS C.F.</v>
      </c>
      <c r="B455" t="str">
        <v>Las Rozas de Madrid, Madrid</v>
      </c>
      <c r="C455" t="str">
        <v>https://www.udlasmatascf.es</v>
      </c>
      <c r="D455" t="str">
        <v>info@udlasmatascf.es</v>
      </c>
      <c r="E455" t="str">
        <v>648455914</v>
      </c>
      <c r="F455" t="str">
        <v>Fútbol · RFFM</v>
      </c>
      <c r="G455" t="str">
        <v>Nuevo</v>
      </c>
      <c r="H455" t="str">
        <v/>
      </c>
      <c r="I455" t="str">
        <v/>
      </c>
      <c r="J455" t="str">
        <v>0</v>
      </c>
      <c r="K455" t="str">
        <v/>
      </c>
      <c r="L455" t="str">
        <v>Enviar Email 1</v>
      </c>
      <c r="M455" t="str">
        <v/>
      </c>
      <c r="N455" t="str">
        <v xml:space="preserve">14 equipos · Pres: CARLOS URDIALES LOPEZ · FB:UDlasmatasCF </v>
      </c>
    </row>
    <row r="456">
      <c r="A456" t="str">
        <v xml:space="preserve">IE UNIVERSITY ATHLETICS </v>
      </c>
      <c r="B456" t="str">
        <v>Madrid, Madrid</v>
      </c>
      <c r="C456" t="str">
        <v>verificar</v>
      </c>
      <c r="D456" t="str">
        <v>pablo.deramon@ie.edu</v>
      </c>
      <c r="E456" t="str">
        <v>638740972</v>
      </c>
      <c r="F456" t="str">
        <v>Fútbol · RFFM</v>
      </c>
      <c r="G456" t="str">
        <v>Nuevo</v>
      </c>
      <c r="H456" t="str">
        <v/>
      </c>
      <c r="I456" t="str">
        <v/>
      </c>
      <c r="J456" t="str">
        <v>0</v>
      </c>
      <c r="K456" t="str">
        <v/>
      </c>
      <c r="L456" t="str">
        <v>Enviar Email 1</v>
      </c>
      <c r="M456" t="str">
        <v/>
      </c>
      <c r="N456" t="str">
        <v>2 equipos · Pres: CLINT FOREST GOODRICH</v>
      </c>
    </row>
    <row r="457">
      <c r="A457" t="str">
        <v>C.D. PEÑAGRANDE</v>
      </c>
      <c r="B457" t="str">
        <v>Madrid, Madrid</v>
      </c>
      <c r="C457" t="str">
        <v>https://www.cdpeñagrande.com</v>
      </c>
      <c r="D457" t="str">
        <v>cdpenagrande@gmail.com</v>
      </c>
      <c r="E457" t="str">
        <v>629224662</v>
      </c>
      <c r="F457" t="str">
        <v>Fútbol · RFFM</v>
      </c>
      <c r="G457" t="str">
        <v>Nuevo</v>
      </c>
      <c r="H457" t="str">
        <v/>
      </c>
      <c r="I457" t="str">
        <v/>
      </c>
      <c r="J457" t="str">
        <v>0</v>
      </c>
      <c r="K457" t="str">
        <v/>
      </c>
      <c r="L457" t="str">
        <v>Enviar Email 1</v>
      </c>
      <c r="M457" t="str">
        <v/>
      </c>
      <c r="N457" t="str">
        <v>1 equipos · Pres: JOSE ANTONIO JIMENEZ PEDRAZA · IG:@cdpenagrande</v>
      </c>
    </row>
    <row r="458">
      <c r="A458" t="str">
        <v>C.D. UNION EUROPA SANSE</v>
      </c>
      <c r="B458" t="str">
        <v>San Sebastián De Los Reyes, Madrid</v>
      </c>
      <c r="C458" t="str">
        <v>https://www.unioneuropasanse.com</v>
      </c>
      <c r="D458" t="str">
        <v>coordinacionunioneuropasanse@gmail.com</v>
      </c>
      <c r="E458" t="str">
        <v>685511189</v>
      </c>
      <c r="F458" t="str">
        <v>Fútbol · RFFM</v>
      </c>
      <c r="G458" t="str">
        <v>Nuevo</v>
      </c>
      <c r="H458" t="str">
        <v/>
      </c>
      <c r="I458" t="str">
        <v/>
      </c>
      <c r="J458" t="str">
        <v>0</v>
      </c>
      <c r="K458" t="str">
        <v/>
      </c>
      <c r="L458" t="str">
        <v>Enviar Email 1</v>
      </c>
      <c r="M458" t="str">
        <v/>
      </c>
      <c r="N458" t="str">
        <v>20 equipos · Pres: ALBERTO CABRERO RODRIGUEZ · FB:Union Europa Sanse · IG:ues2017_</v>
      </c>
    </row>
    <row r="459">
      <c r="A459" t="str">
        <v xml:space="preserve">SAD PROMESAS FUNDACION R.S.D. ALCALA </v>
      </c>
      <c r="B459" t="str">
        <v>Alcalá De Henares, Madrid</v>
      </c>
      <c r="C459" t="str">
        <v>https://www.rsdalcala.com</v>
      </c>
      <c r="D459" t="str">
        <v>info@rsdalcala.com</v>
      </c>
      <c r="E459" t="str">
        <v>910281556</v>
      </c>
      <c r="F459" t="str">
        <v>Fútbol · RFFM</v>
      </c>
      <c r="G459" t="str">
        <v>Nuevo</v>
      </c>
      <c r="H459" t="str">
        <v/>
      </c>
      <c r="I459" t="str">
        <v/>
      </c>
      <c r="J459" t="str">
        <v>0</v>
      </c>
      <c r="K459" t="str">
        <v/>
      </c>
      <c r="L459" t="str">
        <v>Enviar Email 1</v>
      </c>
      <c r="M459" t="str">
        <v/>
      </c>
      <c r="N459" t="str">
        <v>16 equipos · Pres: JOAQUIN MILARA RAMOS</v>
      </c>
    </row>
    <row r="460">
      <c r="A460" t="str">
        <v>S.A.D. OCIO Y DEPORTE CANAL</v>
      </c>
      <c r="B460" t="str">
        <v>Madrid, Madrid</v>
      </c>
      <c r="C460" t="str">
        <v>http://www.ocioydeportecanal.es</v>
      </c>
      <c r="D460" t="str">
        <v>verificar</v>
      </c>
      <c r="E460" t="str">
        <v>915451030</v>
      </c>
      <c r="F460" t="str">
        <v>Fútbol · RFFM</v>
      </c>
      <c r="G460" t="str">
        <v>Nuevo</v>
      </c>
      <c r="H460" t="str">
        <v/>
      </c>
      <c r="I460" t="str">
        <v/>
      </c>
      <c r="J460" t="str">
        <v>0</v>
      </c>
      <c r="K460" t="str">
        <v/>
      </c>
      <c r="L460" t="str">
        <v>Enviar Email 1</v>
      </c>
      <c r="M460" t="str">
        <v/>
      </c>
      <c r="N460" t="str">
        <v>11 equipos</v>
      </c>
    </row>
    <row r="461">
      <c r="A461" t="str">
        <v>A.D. ANCORA ARANJUEZ</v>
      </c>
      <c r="B461" t="str">
        <v>Aranjuez, Madrid</v>
      </c>
      <c r="C461" t="str">
        <v>https://www.ancoraaranjuez.com</v>
      </c>
      <c r="D461" t="str">
        <v>clubancoraaranjuez@gmail.com</v>
      </c>
      <c r="E461" t="str">
        <v>645502090</v>
      </c>
      <c r="F461" t="str">
        <v>Fútbol · RFFM</v>
      </c>
      <c r="G461" t="str">
        <v>Nuevo</v>
      </c>
      <c r="H461" t="str">
        <v/>
      </c>
      <c r="I461" t="str">
        <v/>
      </c>
      <c r="J461" t="str">
        <v>0</v>
      </c>
      <c r="K461" t="str">
        <v/>
      </c>
      <c r="L461" t="str">
        <v>Enviar Email 1</v>
      </c>
      <c r="M461" t="str">
        <v/>
      </c>
      <c r="N461" t="str">
        <v>6 equipos · Pres: ENRIQUE MORENO TRAPOTE</v>
      </c>
    </row>
    <row r="462">
      <c r="A462" t="str">
        <v>CDE E.F. HALCONES MADRID</v>
      </c>
      <c r="B462" t="str">
        <v>Pozuelo De Alarcón, Madrid</v>
      </c>
      <c r="C462" t="str">
        <v>verificar</v>
      </c>
      <c r="D462" t="str">
        <v>efutbolhalcones@gmail.com</v>
      </c>
      <c r="E462" t="str">
        <v>687383126</v>
      </c>
      <c r="F462" t="str">
        <v>Fútbol · RFFM</v>
      </c>
      <c r="G462" t="str">
        <v>Nuevo</v>
      </c>
      <c r="H462" t="str">
        <v/>
      </c>
      <c r="I462" t="str">
        <v/>
      </c>
      <c r="J462" t="str">
        <v>0</v>
      </c>
      <c r="K462" t="str">
        <v/>
      </c>
      <c r="L462" t="str">
        <v>Enviar Email 1</v>
      </c>
      <c r="M462" t="str">
        <v/>
      </c>
      <c r="N462" t="str">
        <v>6 equipos · Pres: EMILIANO LOPEZ SERRANO</v>
      </c>
    </row>
    <row r="463">
      <c r="A463" t="str">
        <v>CDE ANDEL</v>
      </c>
      <c r="B463" t="str">
        <v>Alcorcón, Madrid</v>
      </c>
      <c r="C463" t="str">
        <v>https://www.clubdeportivo.andel.es</v>
      </c>
      <c r="D463" t="str">
        <v>amessia@andel.es</v>
      </c>
      <c r="E463" t="str">
        <v>697642317</v>
      </c>
      <c r="F463" t="str">
        <v>Fútbol · RFFM</v>
      </c>
      <c r="G463" t="str">
        <v>Nuevo</v>
      </c>
      <c r="H463" t="str">
        <v/>
      </c>
      <c r="I463" t="str">
        <v/>
      </c>
      <c r="J463" t="str">
        <v>0</v>
      </c>
      <c r="K463" t="str">
        <v/>
      </c>
      <c r="L463" t="str">
        <v>Enviar Email 1</v>
      </c>
      <c r="M463" t="str">
        <v/>
      </c>
      <c r="N463" t="str">
        <v>13 equipos · Pres: DAVID SAEZ VAZQUEZ</v>
      </c>
    </row>
    <row r="464">
      <c r="A464" t="str">
        <v>C.D. RACING LORANCA SOCCER</v>
      </c>
      <c r="B464" t="str">
        <v>Fuenlabrada, Madrid</v>
      </c>
      <c r="C464" t="str">
        <v>verificar</v>
      </c>
      <c r="D464" t="str">
        <v>cd.racing.loranca@hotmail.com</v>
      </c>
      <c r="E464" t="str">
        <v>669305653</v>
      </c>
      <c r="F464" t="str">
        <v>Fútbol · RFFM</v>
      </c>
      <c r="G464" t="str">
        <v>Nuevo</v>
      </c>
      <c r="H464" t="str">
        <v/>
      </c>
      <c r="I464" t="str">
        <v/>
      </c>
      <c r="J464" t="str">
        <v>0</v>
      </c>
      <c r="K464" t="str">
        <v/>
      </c>
      <c r="L464" t="str">
        <v>Enviar Email 1</v>
      </c>
      <c r="M464" t="str">
        <v/>
      </c>
      <c r="N464" t="str">
        <v>1 equipos · Pres: MAGDALENA TEJEDA CALCEDO</v>
      </c>
    </row>
    <row r="465">
      <c r="A465" t="str">
        <v>C.D. NUEVO PUERTA BONITA DE CARABANCHEL</v>
      </c>
      <c r="B465" t="str">
        <v>Madrid, Madrid</v>
      </c>
      <c r="C465" t="str">
        <v>https://cdnuevopuertabonita.com/</v>
      </c>
      <c r="D465" t="str">
        <v>cdenuevopuertabonita@gmail.com</v>
      </c>
      <c r="E465" t="str">
        <v>607881209</v>
      </c>
      <c r="F465" t="str">
        <v>Fútbol · RFFM</v>
      </c>
      <c r="G465" t="str">
        <v>Nuevo</v>
      </c>
      <c r="H465" t="str">
        <v/>
      </c>
      <c r="I465" t="str">
        <v/>
      </c>
      <c r="J465" t="str">
        <v>0</v>
      </c>
      <c r="K465" t="str">
        <v/>
      </c>
      <c r="L465" t="str">
        <v>Enviar Email 1</v>
      </c>
      <c r="M465" t="str">
        <v/>
      </c>
      <c r="N465" t="str">
        <v>18 equipos · Pres: JOSE MARIA HERNANDEZ MARTINEZ · FB:https://www.facebook.com/cdpuertabonita · IG:@cdnpuertabonita</v>
      </c>
    </row>
    <row r="466">
      <c r="A466" t="str">
        <v>C.D. GETAFE CITY</v>
      </c>
      <c r="B466" t="str">
        <v>Getafe, Madrid</v>
      </c>
      <c r="C466" t="str">
        <v>http://cdegetafecity.rffm.es</v>
      </c>
      <c r="D466" t="str">
        <v>cdegetafecity@gmail.com</v>
      </c>
      <c r="E466" t="str">
        <v>609075341</v>
      </c>
      <c r="F466" t="str">
        <v>Fútbol · RFFM</v>
      </c>
      <c r="G466" t="str">
        <v>Nuevo</v>
      </c>
      <c r="H466" t="str">
        <v/>
      </c>
      <c r="I466" t="str">
        <v/>
      </c>
      <c r="J466" t="str">
        <v>0</v>
      </c>
      <c r="K466" t="str">
        <v/>
      </c>
      <c r="L466" t="str">
        <v>Enviar Email 1</v>
      </c>
      <c r="M466" t="str">
        <v/>
      </c>
      <c r="N466" t="str">
        <v>9 equipos · Pres: MIGUEL ANGEL JUZGADO GUTIERREZ</v>
      </c>
    </row>
    <row r="467">
      <c r="A467" t="str">
        <v>C.D. DYS SPORTS</v>
      </c>
      <c r="B467" t="str">
        <v>Alcalá De Henares, Madrid</v>
      </c>
      <c r="C467" t="str">
        <v>https://www.dys.es</v>
      </c>
      <c r="D467" t="str">
        <v>salvaescueladys@gmail.com</v>
      </c>
      <c r="E467" t="str">
        <v>620402802</v>
      </c>
      <c r="F467" t="str">
        <v>Fútbol · RFFM</v>
      </c>
      <c r="G467" t="str">
        <v>Nuevo</v>
      </c>
      <c r="H467" t="str">
        <v/>
      </c>
      <c r="I467" t="str">
        <v/>
      </c>
      <c r="J467" t="str">
        <v>0</v>
      </c>
      <c r="K467" t="str">
        <v/>
      </c>
      <c r="L467" t="str">
        <v>Enviar Email 1</v>
      </c>
      <c r="M467" t="str">
        <v/>
      </c>
      <c r="N467" t="str">
        <v>16 equipos · Pres: ALBERTO MARTIN EGIDO</v>
      </c>
    </row>
    <row r="468">
      <c r="A468" t="str">
        <v>C.D. PARQUE POLVORANCA</v>
      </c>
      <c r="B468" t="str">
        <v>Leganés, Madrid</v>
      </c>
      <c r="C468" t="str">
        <v>verificar</v>
      </c>
      <c r="D468" t="str">
        <v>pedro.cuadrado.bravo@gmail.com</v>
      </c>
      <c r="E468" t="str">
        <v>606835215</v>
      </c>
      <c r="F468" t="str">
        <v>Fútbol · RFFM</v>
      </c>
      <c r="G468" t="str">
        <v>Nuevo</v>
      </c>
      <c r="H468" t="str">
        <v/>
      </c>
      <c r="I468" t="str">
        <v/>
      </c>
      <c r="J468" t="str">
        <v>0</v>
      </c>
      <c r="K468" t="str">
        <v/>
      </c>
      <c r="L468" t="str">
        <v>Enviar Email 1</v>
      </c>
      <c r="M468" t="str">
        <v/>
      </c>
      <c r="N468" t="str">
        <v>1 equipos · Pres: PEDRO CUADRADO BRAVO</v>
      </c>
    </row>
    <row r="469">
      <c r="A469" t="str">
        <v>E.M.F. ORUSCO</v>
      </c>
      <c r="B469" t="str">
        <v>Orusco De Tajuña, Madrid</v>
      </c>
      <c r="C469" t="str">
        <v>https://emforusco.rffm.es</v>
      </c>
      <c r="D469" t="str">
        <v>emforusco@hotmail.com</v>
      </c>
      <c r="E469" t="str">
        <v>627921830</v>
      </c>
      <c r="F469" t="str">
        <v>Fútbol · RFFM</v>
      </c>
      <c r="G469" t="str">
        <v>Nuevo</v>
      </c>
      <c r="H469" t="str">
        <v/>
      </c>
      <c r="I469" t="str">
        <v/>
      </c>
      <c r="J469" t="str">
        <v>0</v>
      </c>
      <c r="K469" t="str">
        <v/>
      </c>
      <c r="L469" t="str">
        <v>Enviar Email 1</v>
      </c>
      <c r="M469" t="str">
        <v/>
      </c>
      <c r="N469" t="str">
        <v>2 equipos · Pres: VERONICA DIAZ GARCIA</v>
      </c>
    </row>
    <row r="470">
      <c r="A470" t="str">
        <v>ATLETICO SANTA ANA</v>
      </c>
      <c r="B470" t="str">
        <v>Madrid, Madrid</v>
      </c>
      <c r="C470" t="str">
        <v>verificar</v>
      </c>
      <c r="D470" t="str">
        <v>cdeatleticosantaana@hotmail.com</v>
      </c>
      <c r="E470" t="str">
        <v>633525528</v>
      </c>
      <c r="F470" t="str">
        <v>Fútbol · RFFM</v>
      </c>
      <c r="G470" t="str">
        <v>Nuevo</v>
      </c>
      <c r="H470" t="str">
        <v/>
      </c>
      <c r="I470" t="str">
        <v/>
      </c>
      <c r="J470" t="str">
        <v>0</v>
      </c>
      <c r="K470" t="str">
        <v/>
      </c>
      <c r="L470" t="str">
        <v>Enviar Email 1</v>
      </c>
      <c r="M470" t="str">
        <v/>
      </c>
      <c r="N470" t="str">
        <v>6 equipos · Pres: ALEJANDRO ESPADA SANJURJO</v>
      </c>
    </row>
    <row r="471">
      <c r="A471" t="str">
        <v>C.F. VALDEBEBAS</v>
      </c>
      <c r="B471" t="str">
        <v>Madrid, Madrid</v>
      </c>
      <c r="C471" t="str">
        <v>verificar</v>
      </c>
      <c r="D471" t="str">
        <v>info@cfvaldebebas.com</v>
      </c>
      <c r="E471" t="str">
        <v>666352596</v>
      </c>
      <c r="F471" t="str">
        <v>Fútbol · RFFM</v>
      </c>
      <c r="G471" t="str">
        <v>Nuevo</v>
      </c>
      <c r="H471" t="str">
        <v/>
      </c>
      <c r="I471" t="str">
        <v/>
      </c>
      <c r="J471" t="str">
        <v>0</v>
      </c>
      <c r="K471" t="str">
        <v/>
      </c>
      <c r="L471" t="str">
        <v>Enviar Email 1</v>
      </c>
      <c r="M471" t="str">
        <v/>
      </c>
      <c r="N471" t="str">
        <v>31 equipos · Pres: MIGUEL IBORRA GONZALEZ</v>
      </c>
    </row>
    <row r="472">
      <c r="A472" t="str">
        <v>C.D. CIUDAD DE MADRID 2018</v>
      </c>
      <c r="B472" t="str">
        <v>Madrid, Madrid</v>
      </c>
      <c r="C472" t="str">
        <v>verificar</v>
      </c>
      <c r="D472" t="str">
        <v>juliorosalesarteaga@hotmail.com</v>
      </c>
      <c r="E472" t="str">
        <v>651081406</v>
      </c>
      <c r="F472" t="str">
        <v>Fútbol · RFFM</v>
      </c>
      <c r="G472" t="str">
        <v>Nuevo</v>
      </c>
      <c r="H472" t="str">
        <v/>
      </c>
      <c r="I472" t="str">
        <v/>
      </c>
      <c r="J472" t="str">
        <v>0</v>
      </c>
      <c r="K472" t="str">
        <v/>
      </c>
      <c r="L472" t="str">
        <v>Enviar Email 1</v>
      </c>
      <c r="M472" t="str">
        <v/>
      </c>
      <c r="N472" t="str">
        <v>5 equipos · Pres: JULIO ALBERTO ROSALES ARTEAGA</v>
      </c>
    </row>
    <row r="473">
      <c r="A473" t="str">
        <v>C.D. ENJOY FOOTBALL</v>
      </c>
      <c r="B473" t="str">
        <v>Alcobendas, Madrid</v>
      </c>
      <c r="C473" t="str">
        <v>verificar</v>
      </c>
      <c r="D473" t="str">
        <v>danielhidalgocasas@yahoo.es</v>
      </c>
      <c r="E473" t="str">
        <v>692192030</v>
      </c>
      <c r="F473" t="str">
        <v>Fútbol · RFFM</v>
      </c>
      <c r="G473" t="str">
        <v>Nuevo</v>
      </c>
      <c r="H473" t="str">
        <v/>
      </c>
      <c r="I473" t="str">
        <v/>
      </c>
      <c r="J473" t="str">
        <v>0</v>
      </c>
      <c r="K473" t="str">
        <v/>
      </c>
      <c r="L473" t="str">
        <v>Enviar Email 1</v>
      </c>
      <c r="M473" t="str">
        <v/>
      </c>
      <c r="N473" t="str">
        <v>3 equipos · Pres: MANUEL VERDEJO FERNANDEZ</v>
      </c>
    </row>
    <row r="474">
      <c r="A474" t="str">
        <v>C.D. ATLETICO VALLECAS</v>
      </c>
      <c r="B474" t="str">
        <v>Madrid, Madrid</v>
      </c>
      <c r="C474" t="str">
        <v>https://www.atleticovallecas.es</v>
      </c>
      <c r="D474" t="str">
        <v>atleticovallecas@gmail.com</v>
      </c>
      <c r="E474" t="str">
        <v>696485059</v>
      </c>
      <c r="F474" t="str">
        <v>Fútbol · RFFM</v>
      </c>
      <c r="G474" t="str">
        <v>Nuevo</v>
      </c>
      <c r="H474" t="str">
        <v/>
      </c>
      <c r="I474" t="str">
        <v/>
      </c>
      <c r="J474" t="str">
        <v>0</v>
      </c>
      <c r="K474" t="str">
        <v/>
      </c>
      <c r="L474" t="str">
        <v>Enviar Email 1</v>
      </c>
      <c r="M474" t="str">
        <v/>
      </c>
      <c r="N474" t="str">
        <v>3 equipos · Pres: TERESA INES PLAZA VELARDO</v>
      </c>
    </row>
    <row r="475">
      <c r="A475" t="str">
        <v>A.D. MADRID SUR</v>
      </c>
      <c r="B475" t="str">
        <v>0, Madrid</v>
      </c>
      <c r="C475" t="str">
        <v>https://www.admadridsur.org</v>
      </c>
      <c r="D475" t="str">
        <v>agrupacion@admadridsur.org</v>
      </c>
      <c r="E475" t="str">
        <v>917854930</v>
      </c>
      <c r="F475" t="str">
        <v>Fútbol · RFFM</v>
      </c>
      <c r="G475" t="str">
        <v>Nuevo</v>
      </c>
      <c r="H475" t="str">
        <v/>
      </c>
      <c r="I475" t="str">
        <v/>
      </c>
      <c r="J475" t="str">
        <v>0</v>
      </c>
      <c r="K475" t="str">
        <v/>
      </c>
      <c r="L475" t="str">
        <v>Enviar Email 1</v>
      </c>
      <c r="M475" t="str">
        <v/>
      </c>
      <c r="N475" t="str">
        <v>15 equipos · Pres: JOSE MARIA CASARES ESTEBAN</v>
      </c>
    </row>
    <row r="476">
      <c r="A476" t="str">
        <v>C.D. UNION EL PARQUE</v>
      </c>
      <c r="B476" t="str">
        <v>Madrid, Madrid</v>
      </c>
      <c r="C476" t="str">
        <v>verificar</v>
      </c>
      <c r="D476" t="str">
        <v>unionelparque@gmail.com</v>
      </c>
      <c r="E476" t="str">
        <v>683570485</v>
      </c>
      <c r="F476" t="str">
        <v>Fútbol · RFFM</v>
      </c>
      <c r="G476" t="str">
        <v>Nuevo</v>
      </c>
      <c r="H476" t="str">
        <v/>
      </c>
      <c r="I476" t="str">
        <v/>
      </c>
      <c r="J476" t="str">
        <v>0</v>
      </c>
      <c r="K476" t="str">
        <v/>
      </c>
      <c r="L476" t="str">
        <v>Enviar Email 1</v>
      </c>
      <c r="M476" t="str">
        <v/>
      </c>
      <c r="N476" t="str">
        <v>6 equipos · Pres: RAFAEL GUARDIOLA LAFUENTE</v>
      </c>
    </row>
    <row r="477">
      <c r="A477" t="str">
        <v>FUTBOLELLAS CFF</v>
      </c>
      <c r="B477" t="str">
        <v>Torrejón De Ardoz, Madrid</v>
      </c>
      <c r="C477" t="str">
        <v>https://www.futbolellascff.com</v>
      </c>
      <c r="D477" t="str">
        <v>info@futbolellas.com</v>
      </c>
      <c r="E477" t="str">
        <v>606939977</v>
      </c>
      <c r="F477" t="str">
        <v>Fútbol · RFFM</v>
      </c>
      <c r="G477" t="str">
        <v>Nuevo</v>
      </c>
      <c r="H477" t="str">
        <v/>
      </c>
      <c r="I477" t="str">
        <v/>
      </c>
      <c r="J477" t="str">
        <v>0</v>
      </c>
      <c r="K477" t="str">
        <v/>
      </c>
      <c r="L477" t="str">
        <v>Enviar Email 1</v>
      </c>
      <c r="M477" t="str">
        <v/>
      </c>
      <c r="N477" t="str">
        <v>12 equipos · Pres: ANA RODRIGUEZ QUIROS</v>
      </c>
    </row>
    <row r="478">
      <c r="A478" t="str">
        <v>C.D. RIVAS JARAMA</v>
      </c>
      <c r="B478" t="str">
        <v>Rivas-Vaciamadrid, Madrid</v>
      </c>
      <c r="C478" t="str">
        <v>https://cdrivasjarama.epizy.com/</v>
      </c>
      <c r="D478" t="str">
        <v>jmormoy@yahoo.es</v>
      </c>
      <c r="E478" t="str">
        <v>644358565</v>
      </c>
      <c r="F478" t="str">
        <v>Fútbol · RFFM</v>
      </c>
      <c r="G478" t="str">
        <v>Nuevo</v>
      </c>
      <c r="H478" t="str">
        <v/>
      </c>
      <c r="I478" t="str">
        <v/>
      </c>
      <c r="J478" t="str">
        <v>0</v>
      </c>
      <c r="K478" t="str">
        <v/>
      </c>
      <c r="L478" t="str">
        <v>Enviar Email 1</v>
      </c>
      <c r="M478" t="str">
        <v/>
      </c>
      <c r="N478" t="str">
        <v>36 equipos · Pres: JAIME MOYA MORALES</v>
      </c>
    </row>
    <row r="479">
      <c r="A479" t="str">
        <v>C.D.E. PROAS (BAJA TEMP 2025-2026)</v>
      </c>
      <c r="B479" t="str">
        <v>Las Rozas de Madrid, Madrid</v>
      </c>
      <c r="C479" t="str">
        <v>https://www.cdproas.com</v>
      </c>
      <c r="D479" t="str">
        <v>proasclub@gmail.com</v>
      </c>
      <c r="E479" t="str">
        <v>611443119</v>
      </c>
      <c r="F479" t="str">
        <v>Fútbol · RFFM</v>
      </c>
      <c r="G479" t="str">
        <v>Nuevo</v>
      </c>
      <c r="H479" t="str">
        <v/>
      </c>
      <c r="I479" t="str">
        <v/>
      </c>
      <c r="J479" t="str">
        <v>0</v>
      </c>
      <c r="K479" t="str">
        <v/>
      </c>
      <c r="L479" t="str">
        <v>Enviar Email 1</v>
      </c>
      <c r="M479" t="str">
        <v/>
      </c>
      <c r="N479" t="str">
        <v>- equipos · Pres: ALEJANDRO ANTONIO SAGERAS · FB:@cdproas · IG:https://www.instagram.com/cdproas/</v>
      </c>
    </row>
    <row r="480">
      <c r="A480" t="str">
        <v>DEPORTIVO ARDOZ</v>
      </c>
      <c r="B480" t="str">
        <v>Torrejón De Ardoz, Madrid</v>
      </c>
      <c r="C480" t="str">
        <v>https://www.deportivoardoz.es</v>
      </c>
      <c r="D480" t="str">
        <v>amediavilla@clubdeportivoardoz.es</v>
      </c>
      <c r="E480" t="str">
        <v>629256262</v>
      </c>
      <c r="F480" t="str">
        <v>Fútbol · RFFM</v>
      </c>
      <c r="G480" t="str">
        <v>Nuevo</v>
      </c>
      <c r="H480" t="str">
        <v/>
      </c>
      <c r="I480" t="str">
        <v/>
      </c>
      <c r="J480" t="str">
        <v>0</v>
      </c>
      <c r="K480" t="str">
        <v/>
      </c>
      <c r="L480" t="str">
        <v>Enviar Email 1</v>
      </c>
      <c r="M480" t="str">
        <v/>
      </c>
      <c r="N480" t="str">
        <v>8 equipos · Pres: ANTONIO MEDIAVILLA FONTALIVE</v>
      </c>
    </row>
    <row r="481">
      <c r="A481" t="str">
        <v>C.D. FUENLABRADA ATLANTIS</v>
      </c>
      <c r="B481" t="str">
        <v>Fuenlabrada, Madrid</v>
      </c>
      <c r="C481" t="str">
        <v>https://www.fuenlatlantis.es</v>
      </c>
      <c r="D481" t="str">
        <v>info@fuenlatlantis.es</v>
      </c>
      <c r="E481" t="str">
        <v>639001980</v>
      </c>
      <c r="F481" t="str">
        <v>Fútbol · RFFM</v>
      </c>
      <c r="G481" t="str">
        <v>Nuevo</v>
      </c>
      <c r="H481" t="str">
        <v/>
      </c>
      <c r="I481" t="str">
        <v/>
      </c>
      <c r="J481" t="str">
        <v>0</v>
      </c>
      <c r="K481" t="str">
        <v/>
      </c>
      <c r="L481" t="str">
        <v>Enviar Email 1</v>
      </c>
      <c r="M481" t="str">
        <v/>
      </c>
      <c r="N481" t="str">
        <v>59 equipos · Pres: ISMAEL GONZALEZ CASTRO</v>
      </c>
    </row>
    <row r="482">
      <c r="A482" t="str">
        <v>C.D. SP&amp;AL SERRANILLOS</v>
      </c>
      <c r="B482" t="str">
        <v>Fuenlabrada, Madrid</v>
      </c>
      <c r="C482" t="str">
        <v>https://escuelapachonlopez.es/</v>
      </c>
      <c r="D482" t="str">
        <v>dllorente@escuelapachonlopez.es</v>
      </c>
      <c r="E482" t="str">
        <v>666403974</v>
      </c>
      <c r="F482" t="str">
        <v>Fútbol · RFFM</v>
      </c>
      <c r="G482" t="str">
        <v>Nuevo</v>
      </c>
      <c r="H482" t="str">
        <v/>
      </c>
      <c r="I482" t="str">
        <v/>
      </c>
      <c r="J482" t="str">
        <v>0</v>
      </c>
      <c r="K482" t="str">
        <v/>
      </c>
      <c r="L482" t="str">
        <v>Enviar Email 1</v>
      </c>
      <c r="M482" t="str">
        <v/>
      </c>
      <c r="N482" t="str">
        <v>13 equipos · Pres: CAROLINA TAVERO SERRANO</v>
      </c>
    </row>
    <row r="483">
      <c r="A483" t="str">
        <v>C.D. INDEPENDIENTE DE VALLECAS</v>
      </c>
      <c r="B483" t="str">
        <v>Madrid, Madrid</v>
      </c>
      <c r="C483" t="str">
        <v>https://www.independientedevallecas.com</v>
      </c>
      <c r="D483" t="str">
        <v>info@independientedevallecas.com</v>
      </c>
      <c r="E483" t="str">
        <v>613004897</v>
      </c>
      <c r="F483" t="str">
        <v>Fútbol · RFFM</v>
      </c>
      <c r="G483" t="str">
        <v>Nuevo</v>
      </c>
      <c r="H483" t="str">
        <v/>
      </c>
      <c r="I483" t="str">
        <v/>
      </c>
      <c r="J483" t="str">
        <v>0</v>
      </c>
      <c r="K483" t="str">
        <v/>
      </c>
      <c r="L483" t="str">
        <v>Enviar Email 1</v>
      </c>
      <c r="M483" t="str">
        <v/>
      </c>
      <c r="N483" t="str">
        <v>1 equipos · Pres: DANIEL CAMARA MELERO</v>
      </c>
    </row>
    <row r="484">
      <c r="A484" t="str">
        <v>U.D. ARROYOFRESNO</v>
      </c>
      <c r="B484" t="str">
        <v>Madrid, Madrid</v>
      </c>
      <c r="C484" t="str">
        <v>https://www.udarroyofresno.com</v>
      </c>
      <c r="D484" t="str">
        <v>futbol.udarroyofresno@gmail.com</v>
      </c>
      <c r="E484" t="str">
        <v>637417228</v>
      </c>
      <c r="F484" t="str">
        <v>Fútbol · RFFM</v>
      </c>
      <c r="G484" t="str">
        <v>Nuevo</v>
      </c>
      <c r="H484" t="str">
        <v/>
      </c>
      <c r="I484" t="str">
        <v/>
      </c>
      <c r="J484" t="str">
        <v>0</v>
      </c>
      <c r="K484" t="str">
        <v/>
      </c>
      <c r="L484" t="str">
        <v>Enviar Email 1</v>
      </c>
      <c r="M484" t="str">
        <v/>
      </c>
      <c r="N484" t="str">
        <v>34 equipos · Pres: JUAN JOSE COLLADO BARBERO</v>
      </c>
    </row>
    <row r="485">
      <c r="A485" t="str">
        <v>C.D.E. DE FUTBOL INTER VICTORIA</v>
      </c>
      <c r="B485" t="str">
        <v>Madrid, Madrid</v>
      </c>
      <c r="C485" t="str">
        <v>https://www.cdefintervictoria.com</v>
      </c>
      <c r="D485" t="str">
        <v>cdefintervictoria@gmail.com</v>
      </c>
      <c r="E485" t="str">
        <v>685983120</v>
      </c>
      <c r="F485" t="str">
        <v>Fútbol · RFFM</v>
      </c>
      <c r="G485" t="str">
        <v>Nuevo</v>
      </c>
      <c r="H485" t="str">
        <v/>
      </c>
      <c r="I485" t="str">
        <v/>
      </c>
      <c r="J485" t="str">
        <v>0</v>
      </c>
      <c r="K485" t="str">
        <v/>
      </c>
      <c r="L485" t="str">
        <v>Enviar Email 1</v>
      </c>
      <c r="M485" t="str">
        <v/>
      </c>
      <c r="N485" t="str">
        <v>7 equipos · Pres: SANTIAGO MARTIN DE FRUTOS · IG:@cdefintervictoria</v>
      </c>
    </row>
    <row r="486">
      <c r="A486" t="str">
        <v>S.A.D. IVERO</v>
      </c>
      <c r="B486" t="str">
        <v>Valdemoro, Madrid</v>
      </c>
      <c r="C486" t="str">
        <v>http://adivero.es</v>
      </c>
      <c r="D486" t="str">
        <v>adivero@hotmail.com</v>
      </c>
      <c r="E486" t="str">
        <v>685815319</v>
      </c>
      <c r="F486" t="str">
        <v>Fútbol · RFFM</v>
      </c>
      <c r="G486" t="str">
        <v>Nuevo</v>
      </c>
      <c r="H486" t="str">
        <v/>
      </c>
      <c r="I486" t="str">
        <v/>
      </c>
      <c r="J486" t="str">
        <v>0</v>
      </c>
      <c r="K486" t="str">
        <v/>
      </c>
      <c r="L486" t="str">
        <v>Enviar Email 1</v>
      </c>
      <c r="M486" t="str">
        <v/>
      </c>
      <c r="N486" t="str">
        <v>12 equipos · Pres: IVAN GALVEZ DIAZ · FB:@IveroAd · IG:@s.a.d.ivero</v>
      </c>
    </row>
    <row r="487">
      <c r="A487" t="str">
        <v>C.D. UGENA EFM</v>
      </c>
      <c r="B487" t="str">
        <v>Fuenlabrada, Madrid</v>
      </c>
      <c r="C487" t="str">
        <v>verificar</v>
      </c>
      <c r="D487" t="str">
        <v>tomas85mr@hotmail.com</v>
      </c>
      <c r="E487" t="str">
        <v>675963649</v>
      </c>
      <c r="F487" t="str">
        <v>Fútbol · RFFM</v>
      </c>
      <c r="G487" t="str">
        <v>Nuevo</v>
      </c>
      <c r="H487" t="str">
        <v/>
      </c>
      <c r="I487" t="str">
        <v/>
      </c>
      <c r="J487" t="str">
        <v>0</v>
      </c>
      <c r="K487" t="str">
        <v/>
      </c>
      <c r="L487" t="str">
        <v>Enviar Email 1</v>
      </c>
      <c r="M487" t="str">
        <v/>
      </c>
      <c r="N487" t="str">
        <v>27 equipos · Pres: TOMAS MUÑOZ RAMOS</v>
      </c>
    </row>
    <row r="488">
      <c r="A488" t="str">
        <v>C.D. GETAFE FEMENINO</v>
      </c>
      <c r="B488" t="str">
        <v>Getafe, Madrid</v>
      </c>
      <c r="C488" t="str">
        <v>https://www.getafem.es</v>
      </c>
      <c r="D488" t="str">
        <v>info@getafem.es</v>
      </c>
      <c r="E488" t="str">
        <v>639211173</v>
      </c>
      <c r="F488" t="str">
        <v>Fútbol · RFFM</v>
      </c>
      <c r="G488" t="str">
        <v>Nuevo</v>
      </c>
      <c r="H488" t="str">
        <v/>
      </c>
      <c r="I488" t="str">
        <v/>
      </c>
      <c r="J488" t="str">
        <v>0</v>
      </c>
      <c r="K488" t="str">
        <v/>
      </c>
      <c r="L488" t="str">
        <v>Enviar Email 1</v>
      </c>
      <c r="M488" t="str">
        <v/>
      </c>
      <c r="N488" t="str">
        <v>18 equipos · Pres: MIGUEL CABELLO MARTINEZ</v>
      </c>
    </row>
    <row r="489">
      <c r="A489" t="str">
        <v>C.D.E. GOPAD</v>
      </c>
      <c r="B489" t="str">
        <v>Majadahonda, Madrid</v>
      </c>
      <c r="C489" t="str">
        <v>https://gopad.blogspot.com</v>
      </c>
      <c r="D489" t="str">
        <v>cdegopad@gmail.com</v>
      </c>
      <c r="E489" t="str">
        <v>615681578</v>
      </c>
      <c r="F489" t="str">
        <v>Fútbol · RFFM</v>
      </c>
      <c r="G489" t="str">
        <v>Nuevo</v>
      </c>
      <c r="H489" t="str">
        <v/>
      </c>
      <c r="I489" t="str">
        <v/>
      </c>
      <c r="J489" t="str">
        <v>0</v>
      </c>
      <c r="K489" t="str">
        <v/>
      </c>
      <c r="L489" t="str">
        <v>Enviar Email 1</v>
      </c>
      <c r="M489" t="str">
        <v/>
      </c>
      <c r="N489" t="str">
        <v>3 equipos · Pres: JAVIER LAZARO MARTINEZ · FB:cdegopad@facebook.com</v>
      </c>
    </row>
    <row r="490">
      <c r="A490" t="str">
        <v>C.D. ASOC RETIRO SUR</v>
      </c>
      <c r="B490" t="str">
        <v>Madrid, Madrid</v>
      </c>
      <c r="C490" t="str">
        <v>https://cdretirosur.com</v>
      </c>
      <c r="D490" t="str">
        <v>cdretirosur@hotmail.com</v>
      </c>
      <c r="E490" t="str">
        <v>617044460</v>
      </c>
      <c r="F490" t="str">
        <v>Fútbol · RFFM</v>
      </c>
      <c r="G490" t="str">
        <v>Nuevo</v>
      </c>
      <c r="H490" t="str">
        <v/>
      </c>
      <c r="I490" t="str">
        <v/>
      </c>
      <c r="J490" t="str">
        <v>0</v>
      </c>
      <c r="K490" t="str">
        <v/>
      </c>
      <c r="L490" t="str">
        <v>Enviar Email 1</v>
      </c>
      <c r="M490" t="str">
        <v/>
      </c>
      <c r="N490" t="str">
        <v>23 equipos · Pres: FRANCISCO SALINAS GUTIERREZ</v>
      </c>
    </row>
    <row r="491">
      <c r="A491" t="str">
        <v>C.D. MAKAVI - LA AVANZADA</v>
      </c>
      <c r="B491" t="str">
        <v>Fuenlabrada, Madrid</v>
      </c>
      <c r="C491" t="str">
        <v>verificar</v>
      </c>
      <c r="D491" t="str">
        <v>rafaeltlc@protonmail.com</v>
      </c>
      <c r="E491" t="str">
        <v>645661285</v>
      </c>
      <c r="F491" t="str">
        <v>Fútbol · RFFM</v>
      </c>
      <c r="G491" t="str">
        <v>Nuevo</v>
      </c>
      <c r="H491" t="str">
        <v/>
      </c>
      <c r="I491" t="str">
        <v/>
      </c>
      <c r="J491" t="str">
        <v>0</v>
      </c>
      <c r="K491" t="str">
        <v/>
      </c>
      <c r="L491" t="str">
        <v>Enviar Email 1</v>
      </c>
      <c r="M491" t="str">
        <v/>
      </c>
      <c r="N491" t="str">
        <v>1 equipos · Pres: RAFAEL GOMEZ RODRIGUEZ</v>
      </c>
    </row>
    <row r="492">
      <c r="A492" t="str">
        <v>C.D. SANFER19</v>
      </c>
      <c r="B492" t="str">
        <v>San Fernando De Henares, Madrid</v>
      </c>
      <c r="C492" t="str">
        <v>verificar</v>
      </c>
      <c r="D492" t="str">
        <v>cdesanfer19@gmail.com</v>
      </c>
      <c r="E492" t="str">
        <v>658466795</v>
      </c>
      <c r="F492" t="str">
        <v>Fútbol · RFFM</v>
      </c>
      <c r="G492" t="str">
        <v>Nuevo</v>
      </c>
      <c r="H492" t="str">
        <v/>
      </c>
      <c r="I492" t="str">
        <v/>
      </c>
      <c r="J492" t="str">
        <v>0</v>
      </c>
      <c r="K492" t="str">
        <v/>
      </c>
      <c r="L492" t="str">
        <v>Enviar Email 1</v>
      </c>
      <c r="M492" t="str">
        <v/>
      </c>
      <c r="N492" t="str">
        <v>10 equipos · Pres: JORGE FERNANDEZ MUÑOZ</v>
      </c>
    </row>
    <row r="493">
      <c r="A493" t="str">
        <v>C.D. MARAZUELA LAS ROZAS</v>
      </c>
      <c r="B493" t="str">
        <v>Las Rozas de Madrid, Madrid</v>
      </c>
      <c r="C493" t="str">
        <v>verificar</v>
      </c>
      <c r="D493" t="str">
        <v>joe_maset_1990@hotmail.com</v>
      </c>
      <c r="E493" t="str">
        <v>659427215</v>
      </c>
      <c r="F493" t="str">
        <v>Fútbol · RFFM</v>
      </c>
      <c r="G493" t="str">
        <v>Nuevo</v>
      </c>
      <c r="H493" t="str">
        <v/>
      </c>
      <c r="I493" t="str">
        <v/>
      </c>
      <c r="J493" t="str">
        <v>0</v>
      </c>
      <c r="K493" t="str">
        <v/>
      </c>
      <c r="L493" t="str">
        <v>Enviar Email 1</v>
      </c>
      <c r="M493" t="str">
        <v/>
      </c>
      <c r="N493" t="str">
        <v>4 equipos · Pres: JORGE MASET SUANZES · FB:MARAZUELA LAS ROZAS</v>
      </c>
    </row>
    <row r="494">
      <c r="A494" t="str">
        <v>CLUB DE ATLETISMO LOS OLMOS</v>
      </c>
      <c r="B494" t="str">
        <v>Madrid, Madrid</v>
      </c>
      <c r="C494" t="str">
        <v>verificar</v>
      </c>
      <c r="D494" t="str">
        <v>lolm_extraescolares@fomento.edu</v>
      </c>
      <c r="E494" t="str">
        <v>914009860</v>
      </c>
      <c r="F494" t="str">
        <v>Fútbol · RFFM</v>
      </c>
      <c r="G494" t="str">
        <v>Nuevo</v>
      </c>
      <c r="H494" t="str">
        <v/>
      </c>
      <c r="I494" t="str">
        <v/>
      </c>
      <c r="J494" t="str">
        <v>0</v>
      </c>
      <c r="K494" t="str">
        <v/>
      </c>
      <c r="L494" t="str">
        <v>Enviar Email 1</v>
      </c>
      <c r="M494" t="str">
        <v/>
      </c>
      <c r="N494" t="str">
        <v>5 equipos · Pres: NICOLAU ROIG TIÓ</v>
      </c>
    </row>
    <row r="495">
      <c r="A495" t="str">
        <v>CDB GETAFE SPORTING ( BAJA TEMP 2025-2026)</v>
      </c>
      <c r="B495" t="str">
        <v>Getafe, Madrid</v>
      </c>
      <c r="C495" t="str">
        <v>https://www.sportinggetafe.cf</v>
      </c>
      <c r="D495" t="str">
        <v>sportinggetafe@gmail.com</v>
      </c>
      <c r="E495" t="str">
        <v>676354988</v>
      </c>
      <c r="F495" t="str">
        <v>Fútbol · RFFM</v>
      </c>
      <c r="G495" t="str">
        <v>Nuevo</v>
      </c>
      <c r="H495" t="str">
        <v/>
      </c>
      <c r="I495" t="str">
        <v/>
      </c>
      <c r="J495" t="str">
        <v>0</v>
      </c>
      <c r="K495" t="str">
        <v/>
      </c>
      <c r="L495" t="str">
        <v>Enviar Email 1</v>
      </c>
      <c r="M495" t="str">
        <v/>
      </c>
      <c r="N495" t="str">
        <v>1 equipos · Pres: JACINTO MAYO MATEO</v>
      </c>
    </row>
    <row r="496">
      <c r="A496" t="str">
        <v>C.D. RUPE SAHAGUN</v>
      </c>
      <c r="B496" t="str">
        <v>Madrid, Madrid</v>
      </c>
      <c r="C496" t="str">
        <v>https://www.rupesahagun.com</v>
      </c>
      <c r="D496" t="str">
        <v>coordinacioncderupe@gmail.com</v>
      </c>
      <c r="E496" t="str">
        <v>610561655</v>
      </c>
      <c r="F496" t="str">
        <v>Fútbol · RFFM</v>
      </c>
      <c r="G496" t="str">
        <v>Nuevo</v>
      </c>
      <c r="H496" t="str">
        <v/>
      </c>
      <c r="I496" t="str">
        <v/>
      </c>
      <c r="J496" t="str">
        <v>0</v>
      </c>
      <c r="K496" t="str">
        <v/>
      </c>
      <c r="L496" t="str">
        <v>Enviar Email 1</v>
      </c>
      <c r="M496" t="str">
        <v/>
      </c>
      <c r="N496" t="str">
        <v>17 equipos · Pres: ISABEL MARTIN RIOLOBOS</v>
      </c>
    </row>
    <row r="497">
      <c r="A497" t="str">
        <v>LAURELES C.F.</v>
      </c>
      <c r="B497" t="str">
        <v>Madrid, Madrid</v>
      </c>
      <c r="C497" t="str">
        <v>https://laurelesclubdefutbol.negocio.site/</v>
      </c>
      <c r="D497" t="str">
        <v>LAURELESCF@outlook.es</v>
      </c>
      <c r="E497" t="str">
        <v>618271618</v>
      </c>
      <c r="F497" t="str">
        <v>Fútbol · RFFM</v>
      </c>
      <c r="G497" t="str">
        <v>Nuevo</v>
      </c>
      <c r="H497" t="str">
        <v/>
      </c>
      <c r="I497" t="str">
        <v/>
      </c>
      <c r="J497" t="str">
        <v>0</v>
      </c>
      <c r="K497" t="str">
        <v/>
      </c>
      <c r="L497" t="str">
        <v>Enviar Email 1</v>
      </c>
      <c r="M497" t="str">
        <v/>
      </c>
      <c r="N497" t="str">
        <v>4 equipos · Pres: DIANA MARIA CASTAÑO PALACIO · FB:https://www.facebook.com/profile.php?id=100092715098910 · IG:https://instagram.com/laurel</v>
      </c>
    </row>
    <row r="498">
      <c r="A498" t="str">
        <v>CDE FUENLABRADA FALCONS</v>
      </c>
      <c r="B498" t="str">
        <v>Fuenlabrada, Madrid</v>
      </c>
      <c r="C498" t="str">
        <v>https://www.fuenlabradafalcons.es</v>
      </c>
      <c r="D498" t="str">
        <v>fuenlabradafalcons@gmail.com</v>
      </c>
      <c r="E498" t="str">
        <v>674604353</v>
      </c>
      <c r="F498" t="str">
        <v>Fútbol · RFFM</v>
      </c>
      <c r="G498" t="str">
        <v>Nuevo</v>
      </c>
      <c r="H498" t="str">
        <v/>
      </c>
      <c r="I498" t="str">
        <v/>
      </c>
      <c r="J498" t="str">
        <v>0</v>
      </c>
      <c r="K498" t="str">
        <v/>
      </c>
      <c r="L498" t="str">
        <v>Enviar Email 1</v>
      </c>
      <c r="M498" t="str">
        <v/>
      </c>
      <c r="N498" t="str">
        <v>12 equipos · Pres: ABDELHAK AKROUH AKANNI · FB:https://www.facebook.com/fuenlabradafalcons · IG:https://www.instagram.com/fuenlabradafalcons</v>
      </c>
    </row>
    <row r="499">
      <c r="A499" t="str">
        <v>CDE JUVENIL CIUDAD DE CUBAS</v>
      </c>
      <c r="B499" t="str">
        <v>Fuenlabrada, Madrid</v>
      </c>
      <c r="C499" t="str">
        <v>https://cdfuenlabrada.com</v>
      </c>
      <c r="D499" t="str">
        <v>cdciudaddefuenlabrada@gmail.com</v>
      </c>
      <c r="E499" t="str">
        <v>633966443</v>
      </c>
      <c r="F499" t="str">
        <v>Fútbol · RFFM</v>
      </c>
      <c r="G499" t="str">
        <v>Nuevo</v>
      </c>
      <c r="H499" t="str">
        <v/>
      </c>
      <c r="I499" t="str">
        <v/>
      </c>
      <c r="J499" t="str">
        <v>0</v>
      </c>
      <c r="K499" t="str">
        <v/>
      </c>
      <c r="L499" t="str">
        <v>Enviar Email 1</v>
      </c>
      <c r="M499" t="str">
        <v/>
      </c>
      <c r="N499" t="str">
        <v>1 equipos · Pres: JOSE LUIS GODOY MOLINA</v>
      </c>
    </row>
    <row r="500">
      <c r="A500" t="str">
        <v>ATHLETIC CLUB COLMENAREJO</v>
      </c>
      <c r="B500" t="str">
        <v>Colmenarejo, Madrid</v>
      </c>
      <c r="C500" t="str">
        <v>@athleticclubcolmenarejo</v>
      </c>
      <c r="D500" t="str">
        <v>athleticclubcolmenarejo2021@hotmail.com</v>
      </c>
      <c r="E500" t="str">
        <v>699319776</v>
      </c>
      <c r="F500" t="str">
        <v>Fútbol · RFFM</v>
      </c>
      <c r="G500" t="str">
        <v>Nuevo</v>
      </c>
      <c r="H500" t="str">
        <v/>
      </c>
      <c r="I500" t="str">
        <v/>
      </c>
      <c r="J500" t="str">
        <v>0</v>
      </c>
      <c r="K500" t="str">
        <v/>
      </c>
      <c r="L500" t="str">
        <v>Enviar Email 1</v>
      </c>
      <c r="M500" t="str">
        <v/>
      </c>
      <c r="N500" t="str">
        <v>3 equipos · Pres: DAVID MORENO MORENO · IG:@athleticclubcolmenarejo</v>
      </c>
    </row>
    <row r="501">
      <c r="A501" t="str">
        <v>SINABRO PCAH F.C.</v>
      </c>
      <c r="B501" t="str">
        <v>Alcalá De Henares, Madrid</v>
      </c>
      <c r="C501" t="str">
        <v>https://www.youtube.com/@sinabro_f.c</v>
      </c>
      <c r="D501" t="str">
        <v>sinabrofc20@gmail.com</v>
      </c>
      <c r="E501" t="str">
        <v>645942938</v>
      </c>
      <c r="F501" t="str">
        <v>Fútbol · RFFM</v>
      </c>
      <c r="G501" t="str">
        <v>Nuevo</v>
      </c>
      <c r="H501" t="str">
        <v/>
      </c>
      <c r="I501" t="str">
        <v/>
      </c>
      <c r="J501" t="str">
        <v>0</v>
      </c>
      <c r="K501" t="str">
        <v/>
      </c>
      <c r="L501" t="str">
        <v>Enviar Email 1</v>
      </c>
      <c r="M501" t="str">
        <v/>
      </c>
      <c r="N501" t="str">
        <v>3 equipos · Pres: BYEONG GON LEE · FB:www.facebook.com/profile.php?id=100074876577937 · IG:www.instagram.com/sinabro_fc/</v>
      </c>
    </row>
    <row r="502">
      <c r="A502" t="str">
        <v>C.D. PEGASO BALOMPIE TRES CANTOS</v>
      </c>
      <c r="B502" t="str">
        <v>Tres Cantos, Madrid</v>
      </c>
      <c r="C502" t="str">
        <v>https://www.pegasobalompietc.es/</v>
      </c>
      <c r="D502" t="str">
        <v>presidente@pegasobalompietc.es</v>
      </c>
      <c r="E502" t="str">
        <v>648201520</v>
      </c>
      <c r="F502" t="str">
        <v>Fútbol · RFFM</v>
      </c>
      <c r="G502" t="str">
        <v>Nuevo</v>
      </c>
      <c r="H502" t="str">
        <v/>
      </c>
      <c r="I502" t="str">
        <v/>
      </c>
      <c r="J502" t="str">
        <v>0</v>
      </c>
      <c r="K502" t="str">
        <v/>
      </c>
      <c r="L502" t="str">
        <v>Enviar Email 1</v>
      </c>
      <c r="M502" t="str">
        <v/>
      </c>
      <c r="N502" t="str">
        <v>2 equipos · Pres: JUAN LUIS ARIAS CAÑABATE</v>
      </c>
    </row>
    <row r="503">
      <c r="A503" t="str">
        <v>C.D. ARANCETANO</v>
      </c>
      <c r="B503" t="str">
        <v>Aranjuez, Madrid</v>
      </c>
      <c r="C503" t="str">
        <v>https://www.cdarancetano.com</v>
      </c>
      <c r="D503" t="str">
        <v>clubdeportivoarancetano@gmail.com</v>
      </c>
      <c r="E503" t="str">
        <v>665634813</v>
      </c>
      <c r="F503" t="str">
        <v>Fútbol · RFFM</v>
      </c>
      <c r="G503" t="str">
        <v>Nuevo</v>
      </c>
      <c r="H503" t="str">
        <v/>
      </c>
      <c r="I503" t="str">
        <v/>
      </c>
      <c r="J503" t="str">
        <v>0</v>
      </c>
      <c r="K503" t="str">
        <v/>
      </c>
      <c r="L503" t="str">
        <v>Enviar Email 1</v>
      </c>
      <c r="M503" t="str">
        <v/>
      </c>
      <c r="N503" t="str">
        <v>23 equipos · Pres: JOSE DAVID ERCILLA RODRIGUEZ · FB:https://www.facebook.com/cdarancetano.aranjuez.3</v>
      </c>
    </row>
    <row r="504">
      <c r="A504" t="str">
        <v>CDE UNION VILLANUEVA DEL PARDILLO</v>
      </c>
      <c r="B504" t="str">
        <v>Villanueva del Pardillo, Madrid</v>
      </c>
      <c r="C504" t="str">
        <v>https://www.cfunionpardillo.es</v>
      </c>
      <c r="D504" t="str">
        <v>union@cfunionpardillo.es</v>
      </c>
      <c r="E504" t="str">
        <v>616565547</v>
      </c>
      <c r="F504" t="str">
        <v>Fútbol · RFFM</v>
      </c>
      <c r="G504" t="str">
        <v>Nuevo</v>
      </c>
      <c r="H504" t="str">
        <v/>
      </c>
      <c r="I504" t="str">
        <v/>
      </c>
      <c r="J504" t="str">
        <v>0</v>
      </c>
      <c r="K504" t="str">
        <v/>
      </c>
      <c r="L504" t="str">
        <v>Enviar Email 1</v>
      </c>
      <c r="M504" t="str">
        <v/>
      </c>
      <c r="N504" t="str">
        <v>17 equipos · Pres: ANGEL BELLON POBLACIONES · FB:https://www.facebook.com/cfunionpardillo · IG:https://www.instagram.com/cfunionpardillo/</v>
      </c>
    </row>
    <row r="505">
      <c r="A505" t="str">
        <v>U.D. SAN MARTIN DE LA VEGA</v>
      </c>
      <c r="B505" t="str">
        <v>San Martín De La Vega, Madrid</v>
      </c>
      <c r="C505" t="str">
        <v>verificar</v>
      </c>
      <c r="D505" t="str">
        <v>UNIONDEPORTIVASMV@GMAIL.COM</v>
      </c>
      <c r="E505" t="str">
        <v>666559106</v>
      </c>
      <c r="F505" t="str">
        <v>Fútbol · RFFM</v>
      </c>
      <c r="G505" t="str">
        <v>Nuevo</v>
      </c>
      <c r="H505" t="str">
        <v/>
      </c>
      <c r="I505" t="str">
        <v/>
      </c>
      <c r="J505" t="str">
        <v>0</v>
      </c>
      <c r="K505" t="str">
        <v/>
      </c>
      <c r="L505" t="str">
        <v>Enviar Email 1</v>
      </c>
      <c r="M505" t="str">
        <v/>
      </c>
      <c r="N505" t="str">
        <v>9 equipos · Pres: LUIS ALFONSO LOPEZ SANCHEZ · FB:uniondeportivasmv · IG:uniondeportivasmv</v>
      </c>
    </row>
    <row r="506">
      <c r="A506" t="str">
        <v>E.D. ROBLEDO DE CHAVELA</v>
      </c>
      <c r="B506" t="str">
        <v>Robledo De Chavela, Madrid</v>
      </c>
      <c r="C506" t="str">
        <v>verificar</v>
      </c>
      <c r="D506" t="str">
        <v>aitor_qs_92@hotmail.com</v>
      </c>
      <c r="E506" t="str">
        <v>699651429</v>
      </c>
      <c r="F506" t="str">
        <v>Fútbol · RFFM</v>
      </c>
      <c r="G506" t="str">
        <v>Nuevo</v>
      </c>
      <c r="H506" t="str">
        <v/>
      </c>
      <c r="I506" t="str">
        <v/>
      </c>
      <c r="J506" t="str">
        <v>0</v>
      </c>
      <c r="K506" t="str">
        <v/>
      </c>
      <c r="L506" t="str">
        <v>Enviar Email 1</v>
      </c>
      <c r="M506" t="str">
        <v/>
      </c>
      <c r="N506" t="str">
        <v>6 equipos · Pres: AITOR QUIJADA SANCHEZ · IG:escueladefutbolrobledo</v>
      </c>
    </row>
    <row r="507">
      <c r="A507" t="str">
        <v>S.A.D. COLEGIO VALDELUZ</v>
      </c>
      <c r="B507" t="str">
        <v>Madrid, Madrid</v>
      </c>
      <c r="C507" t="str">
        <v>verificar</v>
      </c>
      <c r="D507" t="str">
        <v>futbol@valdeluz.eu</v>
      </c>
      <c r="E507" t="str">
        <v>913780099</v>
      </c>
      <c r="F507" t="str">
        <v>Fútbol · RFFM</v>
      </c>
      <c r="G507" t="str">
        <v>Nuevo</v>
      </c>
      <c r="H507" t="str">
        <v/>
      </c>
      <c r="I507" t="str">
        <v/>
      </c>
      <c r="J507" t="str">
        <v>0</v>
      </c>
      <c r="K507" t="str">
        <v/>
      </c>
      <c r="L507" t="str">
        <v>Enviar Email 1</v>
      </c>
      <c r="M507" t="str">
        <v/>
      </c>
      <c r="N507" t="str">
        <v>8 equipos · Pres: JOSE CARLOS RUIZ JUAN</v>
      </c>
    </row>
    <row r="508">
      <c r="A508" t="str">
        <v>S.A.D. FUNDACION C.D. LEGANES</v>
      </c>
      <c r="B508" t="str">
        <v>Leganés, Madrid</v>
      </c>
      <c r="C508" t="str">
        <v>https://fundacion@cdleganes.com y/o direccion@cdleganes.com</v>
      </c>
      <c r="D508" t="str">
        <v>verificar</v>
      </c>
      <c r="E508" t="str">
        <v>verificar</v>
      </c>
      <c r="F508" t="str">
        <v>Fútbol · RFFM</v>
      </c>
      <c r="G508" t="str">
        <v>Nuevo</v>
      </c>
      <c r="H508" t="str">
        <v/>
      </c>
      <c r="I508" t="str">
        <v/>
      </c>
      <c r="J508" t="str">
        <v>0</v>
      </c>
      <c r="K508" t="str">
        <v/>
      </c>
      <c r="L508" t="str">
        <v>Enviar Email 1</v>
      </c>
      <c r="M508" t="str">
        <v/>
      </c>
      <c r="N508" t="str">
        <v>38 equipos · Pres: MARIA VICTORIA PAVON PALOMO</v>
      </c>
    </row>
    <row r="509">
      <c r="A509" t="str">
        <v>C.D. UNION DEPORTIVA VILLAR DEL OLMO</v>
      </c>
      <c r="B509" t="str">
        <v>Villar Del Olmo, Madrid</v>
      </c>
      <c r="C509" t="str">
        <v>verificar</v>
      </c>
      <c r="D509" t="str">
        <v>villardelolmo.ud@gmail.com</v>
      </c>
      <c r="E509" t="str">
        <v>677549050</v>
      </c>
      <c r="F509" t="str">
        <v>Fútbol · RFFM</v>
      </c>
      <c r="G509" t="str">
        <v>Nuevo</v>
      </c>
      <c r="H509" t="str">
        <v/>
      </c>
      <c r="I509" t="str">
        <v/>
      </c>
      <c r="J509" t="str">
        <v>0</v>
      </c>
      <c r="K509" t="str">
        <v/>
      </c>
      <c r="L509" t="str">
        <v>Enviar Email 1</v>
      </c>
      <c r="M509" t="str">
        <v/>
      </c>
      <c r="N509" t="str">
        <v>5 equipos · Pres: FELIX HORCAJO MAGANO</v>
      </c>
    </row>
    <row r="510">
      <c r="A510" t="str">
        <v>S.A.D. COLEGIO SAN GABRIEL</v>
      </c>
      <c r="B510" t="str">
        <v>Alcalá De Henares, Madrid</v>
      </c>
      <c r="C510" t="str">
        <v>https://centrodeportivosangabriel.es</v>
      </c>
      <c r="D510" t="str">
        <v>centrodeportivo@colegiosangabriel.com</v>
      </c>
      <c r="E510" t="str">
        <v>674489604</v>
      </c>
      <c r="F510" t="str">
        <v>Fútbol · RFFM</v>
      </c>
      <c r="G510" t="str">
        <v>Nuevo</v>
      </c>
      <c r="H510" t="str">
        <v/>
      </c>
      <c r="I510" t="str">
        <v/>
      </c>
      <c r="J510" t="str">
        <v>0</v>
      </c>
      <c r="K510" t="str">
        <v/>
      </c>
      <c r="L510" t="str">
        <v>Enviar Email 1</v>
      </c>
      <c r="M510" t="str">
        <v/>
      </c>
      <c r="N510" t="str">
        <v>23 equipos · Pres: CARLOS MEGO HURTADO</v>
      </c>
    </row>
    <row r="511">
      <c r="A511" t="str">
        <v>C.D. DUX INTERNACIONAL DE MADRID FOOTBALL ACADEMY VILLAVICIOSA DE ODON</v>
      </c>
      <c r="B511" t="str">
        <v>Villaviciosa De Odón, Madrid</v>
      </c>
      <c r="C511" t="str">
        <v>https://duxinternacional.academy</v>
      </c>
      <c r="D511" t="str">
        <v>verificar</v>
      </c>
      <c r="E511" t="str">
        <v>685993390</v>
      </c>
      <c r="F511" t="str">
        <v>Fútbol · RFFM</v>
      </c>
      <c r="G511" t="str">
        <v>Nuevo</v>
      </c>
      <c r="H511" t="str">
        <v/>
      </c>
      <c r="I511" t="str">
        <v/>
      </c>
      <c r="J511" t="str">
        <v>0</v>
      </c>
      <c r="K511" t="str">
        <v/>
      </c>
      <c r="L511" t="str">
        <v>Enviar Email 1</v>
      </c>
      <c r="M511" t="str">
        <v/>
      </c>
      <c r="N511" t="str">
        <v>13 equipos · Pres: RUBEN RAMOS MARTINEZ</v>
      </c>
    </row>
    <row r="512">
      <c r="A512" t="str">
        <v>C.D. SERENDIPITY</v>
      </c>
      <c r="B512" t="str">
        <v>Valdemorillo, Madrid</v>
      </c>
      <c r="C512" t="str">
        <v>verificar</v>
      </c>
      <c r="D512" t="str">
        <v>efvaldemorillo@lider-sport.es</v>
      </c>
      <c r="E512" t="str">
        <v>692268343</v>
      </c>
      <c r="F512" t="str">
        <v>Fútbol · RFFM</v>
      </c>
      <c r="G512" t="str">
        <v>Nuevo</v>
      </c>
      <c r="H512" t="str">
        <v/>
      </c>
      <c r="I512" t="str">
        <v/>
      </c>
      <c r="J512" t="str">
        <v>0</v>
      </c>
      <c r="K512" t="str">
        <v/>
      </c>
      <c r="L512" t="str">
        <v>Enviar Email 1</v>
      </c>
      <c r="M512" t="str">
        <v/>
      </c>
      <c r="N512" t="str">
        <v>8 equipos · Pres: DIEGO BAONZA DEL MORAL · IG:escueladefutbolvaldemorillo</v>
      </c>
    </row>
    <row r="513">
      <c r="A513" t="str">
        <v>S.A.D. FUNDACION ESCUELA DE FUTBOL AFE</v>
      </c>
      <c r="B513" t="str">
        <v>Madrid, Madrid</v>
      </c>
      <c r="C513" t="str">
        <v>https://www.escuelafutbolafe.es</v>
      </c>
      <c r="D513" t="str">
        <v>escuela@afe-futbol.com</v>
      </c>
      <c r="E513" t="str">
        <v>verificar</v>
      </c>
      <c r="F513" t="str">
        <v>Fútbol · RFFM</v>
      </c>
      <c r="G513" t="str">
        <v>Nuevo</v>
      </c>
      <c r="H513" t="str">
        <v/>
      </c>
      <c r="I513" t="str">
        <v/>
      </c>
      <c r="J513" t="str">
        <v>0</v>
      </c>
      <c r="K513" t="str">
        <v/>
      </c>
      <c r="L513" t="str">
        <v>Enviar Email 1</v>
      </c>
      <c r="M513" t="str">
        <v/>
      </c>
      <c r="N513" t="str">
        <v>19 equipos · Pres: FERNANDO ZAMBRANO SANCHEZ</v>
      </c>
    </row>
    <row r="514">
      <c r="A514" t="str">
        <v>C.D.B. BIS</v>
      </c>
      <c r="B514" t="str">
        <v>Alcobendas, Madrid</v>
      </c>
      <c r="C514" t="str">
        <v>verificar</v>
      </c>
      <c r="D514" t="str">
        <v>cdfutbol.mor@colegiobrains.com</v>
      </c>
      <c r="E514" t="str">
        <v>916585508</v>
      </c>
      <c r="F514" t="str">
        <v>Fútbol · RFFM</v>
      </c>
      <c r="G514" t="str">
        <v>Nuevo</v>
      </c>
      <c r="H514" t="str">
        <v/>
      </c>
      <c r="I514" t="str">
        <v/>
      </c>
      <c r="J514" t="str">
        <v>0</v>
      </c>
      <c r="K514" t="str">
        <v/>
      </c>
      <c r="L514" t="str">
        <v>Enviar Email 1</v>
      </c>
      <c r="M514" t="str">
        <v/>
      </c>
      <c r="N514" t="str">
        <v>11 equipos · Pres: CRISTIAN SANCHEZ HITA</v>
      </c>
    </row>
    <row r="515">
      <c r="A515" t="str">
        <v>S.A.D. CENAFE (BAJA TEMP 2025-2026)</v>
      </c>
      <c r="B515" t="str">
        <v>Coslada, Madrid</v>
      </c>
      <c r="C515" t="str">
        <v>verificar</v>
      </c>
      <c r="D515" t="str">
        <v>Ruben@davasecure.com</v>
      </c>
      <c r="E515" t="str">
        <v>603121878</v>
      </c>
      <c r="F515" t="str">
        <v>Fútbol · RFFM</v>
      </c>
      <c r="G515" t="str">
        <v>Nuevo</v>
      </c>
      <c r="H515" t="str">
        <v/>
      </c>
      <c r="I515" t="str">
        <v/>
      </c>
      <c r="J515" t="str">
        <v>0</v>
      </c>
      <c r="K515" t="str">
        <v/>
      </c>
      <c r="L515" t="str">
        <v>Enviar Email 1</v>
      </c>
      <c r="M515" t="str">
        <v/>
      </c>
      <c r="N515" t="str">
        <v>- equipos</v>
      </c>
    </row>
    <row r="516">
      <c r="A516" t="str">
        <v>F.C. CHINCHON 21</v>
      </c>
      <c r="B516" t="str">
        <v>Chinchón, Madrid</v>
      </c>
      <c r="C516" t="str">
        <v>https://chinchonfc@hotmail.com</v>
      </c>
      <c r="D516" t="str">
        <v>chinchonfc@hotmail.com</v>
      </c>
      <c r="E516" t="str">
        <v>687591322</v>
      </c>
      <c r="F516" t="str">
        <v>Fútbol · RFFM</v>
      </c>
      <c r="G516" t="str">
        <v>Nuevo</v>
      </c>
      <c r="H516" t="str">
        <v/>
      </c>
      <c r="I516" t="str">
        <v/>
      </c>
      <c r="J516" t="str">
        <v>0</v>
      </c>
      <c r="K516" t="str">
        <v/>
      </c>
      <c r="L516" t="str">
        <v>Enviar Email 1</v>
      </c>
      <c r="M516" t="str">
        <v/>
      </c>
      <c r="N516" t="str">
        <v>10 equipos · Pres: MIGUEL MANQUILLO GARCIA · FB:https://www.facebook.com/Chinch%C3%B3n-FC-101162682060182</v>
      </c>
    </row>
    <row r="517">
      <c r="A517" t="str">
        <v>ATLETICO GARVIN</v>
      </c>
      <c r="B517" t="str">
        <v>Fuenlabrada, Madrid</v>
      </c>
      <c r="C517" t="str">
        <v>verificar</v>
      </c>
      <c r="D517" t="str">
        <v>clubatleticogarvin@hotmail.com</v>
      </c>
      <c r="E517" t="str">
        <v>608547851</v>
      </c>
      <c r="F517" t="str">
        <v>Fútbol · RFFM</v>
      </c>
      <c r="G517" t="str">
        <v>Nuevo</v>
      </c>
      <c r="H517" t="str">
        <v/>
      </c>
      <c r="I517" t="str">
        <v/>
      </c>
      <c r="J517" t="str">
        <v>0</v>
      </c>
      <c r="K517" t="str">
        <v/>
      </c>
      <c r="L517" t="str">
        <v>Enviar Email 1</v>
      </c>
      <c r="M517" t="str">
        <v/>
      </c>
      <c r="N517" t="str">
        <v>1 equipos · Pres: LUIS GARVIN ESTEBAN · FB:Atlético Garvín · IG:atleticogarvin</v>
      </c>
    </row>
    <row r="518">
      <c r="A518" t="str">
        <v>ST. MICHAEL`S SPORTS CLUB</v>
      </c>
      <c r="B518" t="str">
        <v>Boadilla Del Monte, Madrid</v>
      </c>
      <c r="C518" t="str">
        <v>verificar</v>
      </c>
      <c r="D518" t="str">
        <v>raquelperezmaqueda@gmail.com</v>
      </c>
      <c r="E518" t="str">
        <v>696713629</v>
      </c>
      <c r="F518" t="str">
        <v>Fútbol · RFFM</v>
      </c>
      <c r="G518" t="str">
        <v>Nuevo</v>
      </c>
      <c r="H518" t="str">
        <v/>
      </c>
      <c r="I518" t="str">
        <v/>
      </c>
      <c r="J518" t="str">
        <v>0</v>
      </c>
      <c r="K518" t="str">
        <v/>
      </c>
      <c r="L518" t="str">
        <v>Enviar Email 1</v>
      </c>
      <c r="M518" t="str">
        <v/>
      </c>
      <c r="N518" t="str">
        <v>3 equipos · Pres: RAQUEL PEREZ MAQUEDA</v>
      </c>
    </row>
    <row r="519">
      <c r="A519" t="str">
        <v>CDE ED SESEÑA</v>
      </c>
      <c r="B519" t="str">
        <v>Parla, Madrid</v>
      </c>
      <c r="C519" t="str">
        <v>https://adsesenacf.es</v>
      </c>
      <c r="D519" t="str">
        <v>info@adsesenacf.es</v>
      </c>
      <c r="E519" t="str">
        <v>653721127</v>
      </c>
      <c r="F519" t="str">
        <v>Fútbol · RFFM</v>
      </c>
      <c r="G519" t="str">
        <v>Nuevo</v>
      </c>
      <c r="H519" t="str">
        <v/>
      </c>
      <c r="I519" t="str">
        <v/>
      </c>
      <c r="J519" t="str">
        <v>0</v>
      </c>
      <c r="K519" t="str">
        <v/>
      </c>
      <c r="L519" t="str">
        <v>Enviar Email 1</v>
      </c>
      <c r="M519" t="str">
        <v/>
      </c>
      <c r="N519" t="str">
        <v>12 equipos · Pres: DAVID DEL OLMO LOPEZ</v>
      </c>
    </row>
    <row r="520">
      <c r="A520" t="str">
        <v>CDE TECHNITEAM MOSTOLES</v>
      </c>
      <c r="B520" t="str">
        <v>Móstoles, Madrid</v>
      </c>
      <c r="C520" t="str">
        <v>https://cdetechniteam.com/</v>
      </c>
      <c r="D520" t="str">
        <v>cdetechniteam@gmail.com</v>
      </c>
      <c r="E520" t="str">
        <v>600656354</v>
      </c>
      <c r="F520" t="str">
        <v>Fútbol · RFFM</v>
      </c>
      <c r="G520" t="str">
        <v>Nuevo</v>
      </c>
      <c r="H520" t="str">
        <v/>
      </c>
      <c r="I520" t="str">
        <v/>
      </c>
      <c r="J520" t="str">
        <v>0</v>
      </c>
      <c r="K520" t="str">
        <v/>
      </c>
      <c r="L520" t="str">
        <v>Enviar Email 1</v>
      </c>
      <c r="M520" t="str">
        <v/>
      </c>
      <c r="N520" t="str">
        <v>19 equipos · Pres: DAVID GARCIA GARCIA · FB:https://www.facebook.com/CDETECHNITEAM · IG:https://instagram.com/cde_techniteam?igshid=NGExMmI2</v>
      </c>
    </row>
    <row r="521">
      <c r="A521" t="str">
        <v>C.D. VILLA DE AJALVIR</v>
      </c>
      <c r="B521" t="str">
        <v>Ajalvir, Madrid</v>
      </c>
      <c r="C521" t="str">
        <v>verificar</v>
      </c>
      <c r="D521" t="str">
        <v>info@cdevilladeajalvir.es</v>
      </c>
      <c r="E521" t="str">
        <v>918844582</v>
      </c>
      <c r="F521" t="str">
        <v>Fútbol · RFFM</v>
      </c>
      <c r="G521" t="str">
        <v>Nuevo</v>
      </c>
      <c r="H521" t="str">
        <v/>
      </c>
      <c r="I521" t="str">
        <v/>
      </c>
      <c r="J521" t="str">
        <v>0</v>
      </c>
      <c r="K521" t="str">
        <v/>
      </c>
      <c r="L521" t="str">
        <v>Enviar Email 1</v>
      </c>
      <c r="M521" t="str">
        <v/>
      </c>
      <c r="N521" t="str">
        <v>8 equipos · Pres: FRANCISCO RODRIGUEZ GARCIA</v>
      </c>
    </row>
    <row r="522">
      <c r="A522" t="str">
        <v>U.D. TALAMANCA</v>
      </c>
      <c r="B522" t="str">
        <v>Talamanca De Jarama, Madrid</v>
      </c>
      <c r="C522" t="str">
        <v>https://www.udtalamanca.es</v>
      </c>
      <c r="D522" t="str">
        <v>uniondeportivatalamanca@gmail.com</v>
      </c>
      <c r="E522" t="str">
        <v>669739934</v>
      </c>
      <c r="F522" t="str">
        <v>Fútbol · RFFM</v>
      </c>
      <c r="G522" t="str">
        <v>Nuevo</v>
      </c>
      <c r="H522" t="str">
        <v/>
      </c>
      <c r="I522" t="str">
        <v/>
      </c>
      <c r="J522" t="str">
        <v>0</v>
      </c>
      <c r="K522" t="str">
        <v/>
      </c>
      <c r="L522" t="str">
        <v>Enviar Email 1</v>
      </c>
      <c r="M522" t="str">
        <v/>
      </c>
      <c r="N522" t="str">
        <v>14 equipos · Pres: ALFREDO CALZON SERNA · FB:Unión Deportiva Talamanca</v>
      </c>
    </row>
    <row r="523">
      <c r="A523" t="str">
        <v>C.D. EVEREST SCHOOL</v>
      </c>
      <c r="B523" t="str">
        <v>Pozuelo De Alarcón, Madrid</v>
      </c>
      <c r="C523" t="str">
        <v>verificar</v>
      </c>
      <c r="D523" t="str">
        <v>omedina@everestschool.es</v>
      </c>
      <c r="E523" t="str">
        <v>917994940</v>
      </c>
      <c r="F523" t="str">
        <v>Fútbol · RFFM</v>
      </c>
      <c r="G523" t="str">
        <v>Nuevo</v>
      </c>
      <c r="H523" t="str">
        <v/>
      </c>
      <c r="I523" t="str">
        <v/>
      </c>
      <c r="J523" t="str">
        <v>0</v>
      </c>
      <c r="K523" t="str">
        <v/>
      </c>
      <c r="L523" t="str">
        <v>Enviar Email 1</v>
      </c>
      <c r="M523" t="str">
        <v/>
      </c>
      <c r="N523" t="str">
        <v>6 equipos · Pres: JORGE RANNINGER HERNANDEZ · IG:everestschoolsport</v>
      </c>
    </row>
    <row r="524">
      <c r="A524" t="str">
        <v>CDE VALMES C.F.</v>
      </c>
      <c r="B524" t="str">
        <v>Valdilecha, Madrid</v>
      </c>
      <c r="C524" t="str">
        <v>verificar</v>
      </c>
      <c r="D524" t="str">
        <v>juliocsartorre@hotmail.com</v>
      </c>
      <c r="E524" t="str">
        <v>622749008</v>
      </c>
      <c r="F524" t="str">
        <v>Fútbol · RFFM</v>
      </c>
      <c r="G524" t="str">
        <v>Nuevo</v>
      </c>
      <c r="H524" t="str">
        <v/>
      </c>
      <c r="I524" t="str">
        <v/>
      </c>
      <c r="J524" t="str">
        <v>0</v>
      </c>
      <c r="K524" t="str">
        <v/>
      </c>
      <c r="L524" t="str">
        <v>Enviar Email 1</v>
      </c>
      <c r="M524" t="str">
        <v/>
      </c>
      <c r="N524" t="str">
        <v>11 equipos · Pres: JULIO CESAR GOMEZ DE LA TORRE</v>
      </c>
    </row>
    <row r="525">
      <c r="A525" t="str">
        <v>JARAMA RACE-BEINSOCCER INTERNATIONAL MADRID</v>
      </c>
      <c r="B525" t="str">
        <v>San Sebastián De Los Reyes, Madrid</v>
      </c>
      <c r="C525" t="str">
        <v>verificar</v>
      </c>
      <c r="D525" t="str">
        <v>escuelafutbolrace@gmail.com</v>
      </c>
      <c r="E525" t="str">
        <v>647446795</v>
      </c>
      <c r="F525" t="str">
        <v>Fútbol · RFFM</v>
      </c>
      <c r="G525" t="str">
        <v>Nuevo</v>
      </c>
      <c r="H525" t="str">
        <v/>
      </c>
      <c r="I525" t="str">
        <v/>
      </c>
      <c r="J525" t="str">
        <v>0</v>
      </c>
      <c r="K525" t="str">
        <v/>
      </c>
      <c r="L525" t="str">
        <v>Enviar Email 1</v>
      </c>
      <c r="M525" t="str">
        <v/>
      </c>
      <c r="N525" t="str">
        <v>11 equipos · Pres: JOSE SEBASTIAN GUERRERO CURULL</v>
      </c>
    </row>
    <row r="526">
      <c r="A526" t="str">
        <v>C.D. CASTELLANA NUEVA ALCOBENDAS</v>
      </c>
      <c r="B526" t="str">
        <v>Alcobendas, Madrid</v>
      </c>
      <c r="C526" t="str">
        <v>https://castellananuevacf.com/</v>
      </c>
      <c r="D526" t="str">
        <v>deportes@colegioestudiantes.edu.es</v>
      </c>
      <c r="E526" t="str">
        <v>606546352</v>
      </c>
      <c r="F526" t="str">
        <v>Fútbol · RFFM</v>
      </c>
      <c r="G526" t="str">
        <v>Nuevo</v>
      </c>
      <c r="H526" t="str">
        <v/>
      </c>
      <c r="I526" t="str">
        <v/>
      </c>
      <c r="J526" t="str">
        <v>0</v>
      </c>
      <c r="K526" t="str">
        <v/>
      </c>
      <c r="L526" t="str">
        <v>Enviar Email 1</v>
      </c>
      <c r="M526" t="str">
        <v/>
      </c>
      <c r="N526" t="str">
        <v>3 equipos · Pres: GONZALO ARSENIO INCLAN CAMPO</v>
      </c>
    </row>
    <row r="527">
      <c r="A527" t="str">
        <v>C.D.E. FEC</v>
      </c>
      <c r="B527" t="str">
        <v>Madrid, Madrid</v>
      </c>
      <c r="C527" t="str">
        <v>verificar</v>
      </c>
      <c r="D527" t="str">
        <v>jjose.pagan@xtrafec.com</v>
      </c>
      <c r="E527" t="str">
        <v>610905739</v>
      </c>
      <c r="F527" t="str">
        <v>Fútbol · RFFM</v>
      </c>
      <c r="G527" t="str">
        <v>Nuevo</v>
      </c>
      <c r="H527" t="str">
        <v/>
      </c>
      <c r="I527" t="str">
        <v/>
      </c>
      <c r="J527" t="str">
        <v>0</v>
      </c>
      <c r="K527" t="str">
        <v/>
      </c>
      <c r="L527" t="str">
        <v>Enviar Email 1</v>
      </c>
      <c r="M527" t="str">
        <v/>
      </c>
      <c r="N527" t="str">
        <v>9 equipos · Pres: JUAN IGNACIO YAGÜE GONZALEZ</v>
      </c>
    </row>
    <row r="528">
      <c r="A528" t="str">
        <v>C.D.E. POLIDEPORTIVO EL VISO DE SAN JUAN</v>
      </c>
      <c r="B528" t="str">
        <v>Madrid, Madrid</v>
      </c>
      <c r="C528" t="str">
        <v>verificar</v>
      </c>
      <c r="D528" t="str">
        <v>gustavoadolfoanton@hotmail.com</v>
      </c>
      <c r="E528" t="str">
        <v>633275961</v>
      </c>
      <c r="F528" t="str">
        <v>Fútbol · RFFM</v>
      </c>
      <c r="G528" t="str">
        <v>Nuevo</v>
      </c>
      <c r="H528" t="str">
        <v/>
      </c>
      <c r="I528" t="str">
        <v/>
      </c>
      <c r="J528" t="str">
        <v>0</v>
      </c>
      <c r="K528" t="str">
        <v/>
      </c>
      <c r="L528" t="str">
        <v>Enviar Email 1</v>
      </c>
      <c r="M528" t="str">
        <v/>
      </c>
      <c r="N528" t="str">
        <v>3 equipos · Pres: GUSTAVO ADOLFO ANTON ROMAN</v>
      </c>
    </row>
    <row r="529">
      <c r="A529" t="str">
        <v>CDB SEK-CIUDALCAMPO</v>
      </c>
      <c r="B529" t="str">
        <v>San Sebastián De Los Reyes, Madrid</v>
      </c>
      <c r="C529" t="str">
        <v>verificar</v>
      </c>
      <c r="D529" t="str">
        <v>guillermo.lopezm@sek.es</v>
      </c>
      <c r="E529" t="str">
        <v>verificar</v>
      </c>
      <c r="F529" t="str">
        <v>Fútbol · RFFM</v>
      </c>
      <c r="G529" t="str">
        <v>Nuevo</v>
      </c>
      <c r="H529" t="str">
        <v/>
      </c>
      <c r="I529" t="str">
        <v/>
      </c>
      <c r="J529" t="str">
        <v>0</v>
      </c>
      <c r="K529" t="str">
        <v/>
      </c>
      <c r="L529" t="str">
        <v>Enviar Email 1</v>
      </c>
      <c r="M529" t="str">
        <v/>
      </c>
      <c r="N529" t="str">
        <v>11 equipos · Pres: CECILIA PAULA VILLAVICENCIO DAMORE</v>
      </c>
    </row>
    <row r="530">
      <c r="A530" t="str">
        <v>C.D.E. LAS TABLAS VALVERDE</v>
      </c>
      <c r="B530" t="str">
        <v>Madrid, Madrid</v>
      </c>
      <c r="C530" t="str">
        <v>verificar</v>
      </c>
      <c r="D530" t="str">
        <v>lastablasfutbol@fomento.edu</v>
      </c>
      <c r="E530" t="str">
        <v>verificar</v>
      </c>
      <c r="F530" t="str">
        <v>Fútbol · RFFM</v>
      </c>
      <c r="G530" t="str">
        <v>Nuevo</v>
      </c>
      <c r="H530" t="str">
        <v/>
      </c>
      <c r="I530" t="str">
        <v/>
      </c>
      <c r="J530" t="str">
        <v>0</v>
      </c>
      <c r="K530" t="str">
        <v/>
      </c>
      <c r="L530" t="str">
        <v>Enviar Email 1</v>
      </c>
      <c r="M530" t="str">
        <v/>
      </c>
      <c r="N530" t="str">
        <v>17 equipos · Pres: FERNANDO SAN JOSE SANCHO</v>
      </c>
    </row>
    <row r="531">
      <c r="A531" t="str">
        <v>C.D.E. GETAFE ATLETICO</v>
      </c>
      <c r="B531" t="str">
        <v>Getafe, Madrid</v>
      </c>
      <c r="C531" t="str">
        <v>verificar</v>
      </c>
      <c r="D531" t="str">
        <v>cdegetafeatletico@gmail.com</v>
      </c>
      <c r="E531" t="str">
        <v>638231246</v>
      </c>
      <c r="F531" t="str">
        <v>Fútbol · RFFM</v>
      </c>
      <c r="G531" t="str">
        <v>Nuevo</v>
      </c>
      <c r="H531" t="str">
        <v/>
      </c>
      <c r="I531" t="str">
        <v/>
      </c>
      <c r="J531" t="str">
        <v>0</v>
      </c>
      <c r="K531" t="str">
        <v/>
      </c>
      <c r="L531" t="str">
        <v>Enviar Email 1</v>
      </c>
      <c r="M531" t="str">
        <v/>
      </c>
      <c r="N531" t="str">
        <v>5 equipos · Pres: JUAN DIEGO PEREZ MONTÁVEZ</v>
      </c>
    </row>
    <row r="532">
      <c r="A532" t="str">
        <v>S.A.D. FUNDACION RAYO MAJADAHONDA</v>
      </c>
      <c r="B532" t="str">
        <v>Majadahonda, Madrid</v>
      </c>
      <c r="C532" t="str">
        <v>https://www.rayomajadahonda.com</v>
      </c>
      <c r="D532" t="str">
        <v>gerencia@rayomajadahonda.com</v>
      </c>
      <c r="E532" t="str">
        <v>616982118</v>
      </c>
      <c r="F532" t="str">
        <v>Fútbol · RFFM</v>
      </c>
      <c r="G532" t="str">
        <v>Nuevo</v>
      </c>
      <c r="H532" t="str">
        <v/>
      </c>
      <c r="I532" t="str">
        <v/>
      </c>
      <c r="J532" t="str">
        <v>0</v>
      </c>
      <c r="K532" t="str">
        <v/>
      </c>
      <c r="L532" t="str">
        <v>Enviar Email 1</v>
      </c>
      <c r="M532" t="str">
        <v/>
      </c>
      <c r="N532" t="str">
        <v>41 equipos · Pres: JOSE MARIA SANZ MARTIN</v>
      </c>
    </row>
    <row r="533">
      <c r="A533" t="str">
        <v>C.D.B. PARQUE DE CATALUÑA</v>
      </c>
      <c r="B533" t="str">
        <v>Torrejón De Ardoz, Madrid</v>
      </c>
      <c r="C533" t="str">
        <v>https://www.dbtorrejon.com</v>
      </c>
      <c r="D533" t="str">
        <v>info@dbtorrejon.com</v>
      </c>
      <c r="E533" t="str">
        <v>687427901</v>
      </c>
      <c r="F533" t="str">
        <v>Fútbol · RFFM</v>
      </c>
      <c r="G533" t="str">
        <v>Nuevo</v>
      </c>
      <c r="H533" t="str">
        <v/>
      </c>
      <c r="I533" t="str">
        <v/>
      </c>
      <c r="J533" t="str">
        <v>0</v>
      </c>
      <c r="K533" t="str">
        <v/>
      </c>
      <c r="L533" t="str">
        <v>Enviar Email 1</v>
      </c>
      <c r="M533" t="str">
        <v/>
      </c>
      <c r="N533" t="str">
        <v>6 equipos · Pres: MIGUEL MONTERO GARCIA</v>
      </c>
    </row>
    <row r="534">
      <c r="A534" t="str">
        <v>C.D.B. PUERTO DE VALLEKAS</v>
      </c>
      <c r="B534" t="str">
        <v>Madrid, Madrid</v>
      </c>
      <c r="C534" t="str">
        <v>verificar</v>
      </c>
      <c r="D534" t="str">
        <v>puertodevallekas@gmail.com</v>
      </c>
      <c r="E534" t="str">
        <v>607459530</v>
      </c>
      <c r="F534" t="str">
        <v>Fútbol · RFFM</v>
      </c>
      <c r="G534" t="str">
        <v>Nuevo</v>
      </c>
      <c r="H534" t="str">
        <v/>
      </c>
      <c r="I534" t="str">
        <v/>
      </c>
      <c r="J534" t="str">
        <v>0</v>
      </c>
      <c r="K534" t="str">
        <v/>
      </c>
      <c r="L534" t="str">
        <v>Enviar Email 1</v>
      </c>
      <c r="M534" t="str">
        <v/>
      </c>
      <c r="N534" t="str">
        <v>1 equipos · Pres: CANDELA DIAZ PACHECO · IG:@Puertovk_</v>
      </c>
    </row>
    <row r="535">
      <c r="A535" t="str">
        <v>C.D.E. FEMENINO MOSCARDO</v>
      </c>
      <c r="B535" t="str">
        <v>Madrid, Madrid</v>
      </c>
      <c r="C535" t="str">
        <v>verificar</v>
      </c>
      <c r="D535" t="str">
        <v>amarlasca@hotmail.com</v>
      </c>
      <c r="E535" t="str">
        <v>verificar</v>
      </c>
      <c r="F535" t="str">
        <v>Fútbol · RFFM</v>
      </c>
      <c r="G535" t="str">
        <v>Nuevo</v>
      </c>
      <c r="H535" t="str">
        <v/>
      </c>
      <c r="I535" t="str">
        <v/>
      </c>
      <c r="J535" t="str">
        <v>0</v>
      </c>
      <c r="K535" t="str">
        <v/>
      </c>
      <c r="L535" t="str">
        <v>Enviar Email 1</v>
      </c>
      <c r="M535" t="str">
        <v/>
      </c>
      <c r="N535" t="str">
        <v>1 equipos · Pres: MARIA DEL PILAR GOMEZ ATIENZA</v>
      </c>
    </row>
    <row r="536">
      <c r="A536" t="str">
        <v>C.D.E. MADRID CLUB DE FUTBOL FEMENINO - 2010</v>
      </c>
      <c r="B536" t="str">
        <v>Madrid, Madrid</v>
      </c>
      <c r="C536" t="str">
        <v>verificar</v>
      </c>
      <c r="D536" t="str">
        <v>club@madridcff.com</v>
      </c>
      <c r="E536" t="str">
        <v>686839069</v>
      </c>
      <c r="F536" t="str">
        <v>Fútbol · RFFM</v>
      </c>
      <c r="G536" t="str">
        <v>Nuevo</v>
      </c>
      <c r="H536" t="str">
        <v/>
      </c>
      <c r="I536" t="str">
        <v/>
      </c>
      <c r="J536" t="str">
        <v>0</v>
      </c>
      <c r="K536" t="str">
        <v/>
      </c>
      <c r="L536" t="str">
        <v>Enviar Email 1</v>
      </c>
      <c r="M536" t="str">
        <v/>
      </c>
      <c r="N536" t="str">
        <v>15 equipos · Pres: PAOLA ULLOA JIMENEZ</v>
      </c>
    </row>
    <row r="537">
      <c r="A537" t="str">
        <v>CD DV7 MADRID</v>
      </c>
      <c r="B537" t="str">
        <v>Madrid, Madrid</v>
      </c>
      <c r="C537" t="str">
        <v>https://www.dv7soccer.com</v>
      </c>
      <c r="D537" t="str">
        <v>madrid@dv7soccer.com</v>
      </c>
      <c r="E537" t="str">
        <v>620814293</v>
      </c>
      <c r="F537" t="str">
        <v>Fútbol · RFFM</v>
      </c>
      <c r="G537" t="str">
        <v>Nuevo</v>
      </c>
      <c r="H537" t="str">
        <v/>
      </c>
      <c r="I537" t="str">
        <v/>
      </c>
      <c r="J537" t="str">
        <v>0</v>
      </c>
      <c r="K537" t="str">
        <v/>
      </c>
      <c r="L537" t="str">
        <v>Enviar Email 1</v>
      </c>
      <c r="M537" t="str">
        <v/>
      </c>
      <c r="N537" t="str">
        <v>14 equipos · Pres: DAVID VILLA SANCHEZ</v>
      </c>
    </row>
    <row r="538">
      <c r="A538" t="str">
        <v>C.D.E. NATACION CHI BOI</v>
      </c>
      <c r="B538" t="str">
        <v>Madrid, Madrid</v>
      </c>
      <c r="C538" t="str">
        <v>https://www.atleticochiboi.com</v>
      </c>
      <c r="D538" t="str">
        <v>verificar</v>
      </c>
      <c r="E538" t="str">
        <v>659994496</v>
      </c>
      <c r="F538" t="str">
        <v>Fútbol · RFFM</v>
      </c>
      <c r="G538" t="str">
        <v>Nuevo</v>
      </c>
      <c r="H538" t="str">
        <v/>
      </c>
      <c r="I538" t="str">
        <v/>
      </c>
      <c r="J538" t="str">
        <v>0</v>
      </c>
      <c r="K538" t="str">
        <v/>
      </c>
      <c r="L538" t="str">
        <v>Enviar Email 1</v>
      </c>
      <c r="M538" t="str">
        <v/>
      </c>
      <c r="N538" t="str">
        <v>6 equipos · Pres: CRISTHIAN MALTESE CAÑAMERO · IG:@atletico_chiboi</v>
      </c>
    </row>
    <row r="539">
      <c r="A539" t="str">
        <v>C.D.E. VENEZUELA F.C. (BAJA TEMP 2025-2026)</v>
      </c>
      <c r="B539" t="str">
        <v>Alcobendas, Madrid</v>
      </c>
      <c r="C539" t="str">
        <v>https://www.venezuelafutbolclub.es</v>
      </c>
      <c r="D539" t="str">
        <v>verificar</v>
      </c>
      <c r="E539" t="str">
        <v>verificar</v>
      </c>
      <c r="F539" t="str">
        <v>Fútbol · RFFM</v>
      </c>
      <c r="G539" t="str">
        <v>Nuevo</v>
      </c>
      <c r="H539" t="str">
        <v/>
      </c>
      <c r="I539" t="str">
        <v/>
      </c>
      <c r="J539" t="str">
        <v>0</v>
      </c>
      <c r="K539" t="str">
        <v/>
      </c>
      <c r="L539" t="str">
        <v>Enviar Email 1</v>
      </c>
      <c r="M539" t="str">
        <v/>
      </c>
      <c r="N539" t="str">
        <v>- equipos · Pres: JOSE ANGEL ASTUDILLO GOMEZ · IG:@venezuelaf.c</v>
      </c>
    </row>
    <row r="540">
      <c r="A540" t="str">
        <v>C.D.E. DRAGONES DE LAVAPIES</v>
      </c>
      <c r="B540" t="str">
        <v>Madrid, Madrid</v>
      </c>
      <c r="C540" t="str">
        <v>https://dragonesdelavapies.com</v>
      </c>
      <c r="D540" t="str">
        <v>dragonesdelavapies@gmail.com</v>
      </c>
      <c r="E540" t="str">
        <v>645014537</v>
      </c>
      <c r="F540" t="str">
        <v>Fútbol · RFFM</v>
      </c>
      <c r="G540" t="str">
        <v>Nuevo</v>
      </c>
      <c r="H540" t="str">
        <v/>
      </c>
      <c r="I540" t="str">
        <v/>
      </c>
      <c r="J540" t="str">
        <v>0</v>
      </c>
      <c r="K540" t="str">
        <v/>
      </c>
      <c r="L540" t="str">
        <v>Enviar Email 1</v>
      </c>
      <c r="M540" t="str">
        <v/>
      </c>
      <c r="N540" t="str">
        <v>4 equipos · Pres: DOLORES GALINDO FONTAN · FB:https://m.facebook.com/dragones.delavapies/ · IG:instagram.com/dragoneslavapies/</v>
      </c>
    </row>
    <row r="541">
      <c r="A541" t="str">
        <v>C.D.E. CHAMARTIN ATHLETIC</v>
      </c>
      <c r="B541" t="str">
        <v>Madrid, Madrid</v>
      </c>
      <c r="C541" t="str">
        <v>https://www.chamartinathletic.es</v>
      </c>
      <c r="D541" t="str">
        <v>chamartinathletic@gmail.com</v>
      </c>
      <c r="E541" t="str">
        <v>620636749</v>
      </c>
      <c r="F541" t="str">
        <v>Fútbol · RFFM</v>
      </c>
      <c r="G541" t="str">
        <v>Nuevo</v>
      </c>
      <c r="H541" t="str">
        <v/>
      </c>
      <c r="I541" t="str">
        <v/>
      </c>
      <c r="J541" t="str">
        <v>0</v>
      </c>
      <c r="K541" t="str">
        <v/>
      </c>
      <c r="L541" t="str">
        <v>Enviar Email 1</v>
      </c>
      <c r="M541" t="str">
        <v/>
      </c>
      <c r="N541" t="str">
        <v>7 equipos · Pres: DAVID DE VICENTE ALFONSO · IG:@chamartinathletic</v>
      </c>
    </row>
    <row r="542">
      <c r="A542" t="str">
        <v>C.D.E. FUTBOL CLUB BRITANICO DE MADRID</v>
      </c>
      <c r="B542" t="str">
        <v>Madrid, Madrid</v>
      </c>
      <c r="C542" t="str">
        <v>https://fcbritanico.org</v>
      </c>
      <c r="D542" t="str">
        <v>ramimajid13@gmail.com</v>
      </c>
      <c r="E542" t="str">
        <v>610788217</v>
      </c>
      <c r="F542" t="str">
        <v>Fútbol · RFFM</v>
      </c>
      <c r="G542" t="str">
        <v>Nuevo</v>
      </c>
      <c r="H542" t="str">
        <v/>
      </c>
      <c r="I542" t="str">
        <v/>
      </c>
      <c r="J542" t="str">
        <v>0</v>
      </c>
      <c r="K542" t="str">
        <v/>
      </c>
      <c r="L542" t="str">
        <v>Enviar Email 1</v>
      </c>
      <c r="M542" t="str">
        <v/>
      </c>
      <c r="N542" t="str">
        <v>1 equipos · Pres: GRAEME MICHAEL BEATY · FB:https://www.facebook.com/fcbritanico/ · IG:https://instagram.com/fcbritanicodemadrid</v>
      </c>
    </row>
    <row r="543">
      <c r="A543" t="str">
        <v>C.D.E. COLEGIO JUAN PABLO II</v>
      </c>
      <c r="B543" t="str">
        <v>Alcorcón, Madrid</v>
      </c>
      <c r="C543" t="str">
        <v>verificar</v>
      </c>
      <c r="D543" t="str">
        <v>verificar</v>
      </c>
      <c r="E543" t="str">
        <v>659993863</v>
      </c>
      <c r="F543" t="str">
        <v>Fútbol · RFFM</v>
      </c>
      <c r="G543" t="str">
        <v>Nuevo</v>
      </c>
      <c r="H543" t="str">
        <v/>
      </c>
      <c r="I543" t="str">
        <v/>
      </c>
      <c r="J543" t="str">
        <v>0</v>
      </c>
      <c r="K543" t="str">
        <v/>
      </c>
      <c r="L543" t="str">
        <v>Enviar Email 1</v>
      </c>
      <c r="M543" t="str">
        <v/>
      </c>
      <c r="N543" t="str">
        <v>11 equipos · Pres: JUAN CARLOS CORVERA CORDOBA</v>
      </c>
    </row>
    <row r="544">
      <c r="A544" t="str">
        <v>C.D.E. MADRID OLIMPO</v>
      </c>
      <c r="B544" t="str">
        <v>Madrid, Madrid</v>
      </c>
      <c r="C544" t="str">
        <v>verificar</v>
      </c>
      <c r="D544" t="str">
        <v>cdmadridolimpo@gmail.com</v>
      </c>
      <c r="E544" t="str">
        <v>627883148</v>
      </c>
      <c r="F544" t="str">
        <v>Fútbol · RFFM</v>
      </c>
      <c r="G544" t="str">
        <v>Nuevo</v>
      </c>
      <c r="H544" t="str">
        <v/>
      </c>
      <c r="I544" t="str">
        <v/>
      </c>
      <c r="J544" t="str">
        <v>0</v>
      </c>
      <c r="K544" t="str">
        <v/>
      </c>
      <c r="L544" t="str">
        <v>Enviar Email 1</v>
      </c>
      <c r="M544" t="str">
        <v/>
      </c>
      <c r="N544" t="str">
        <v>2 equipos · Pres: OSCAR SANZ CANO · IG:cdmadridolimpo</v>
      </c>
    </row>
    <row r="545">
      <c r="A545" t="str">
        <v>C.D.E. DE FUTBOL RIKI DE ARANJUEZ</v>
      </c>
      <c r="B545" t="str">
        <v>Aranjuez, Madrid</v>
      </c>
      <c r="C545" t="str">
        <v>verificar</v>
      </c>
      <c r="D545" t="str">
        <v>verificar</v>
      </c>
      <c r="E545" t="str">
        <v>629817212</v>
      </c>
      <c r="F545" t="str">
        <v>Fútbol · RFFM</v>
      </c>
      <c r="G545" t="str">
        <v>Nuevo</v>
      </c>
      <c r="H545" t="str">
        <v/>
      </c>
      <c r="I545" t="str">
        <v/>
      </c>
      <c r="J545" t="str">
        <v>0</v>
      </c>
      <c r="K545" t="str">
        <v/>
      </c>
      <c r="L545" t="str">
        <v>Enviar Email 1</v>
      </c>
      <c r="M545" t="str">
        <v/>
      </c>
      <c r="N545" t="str">
        <v>2 equipos · Pres: GUILLERMO LOPEZ ESCUDERO</v>
      </c>
    </row>
    <row r="546">
      <c r="A546" t="str">
        <v>CLUB ESCUELA DEPORTIVA MANILA-ESTRELLAS</v>
      </c>
      <c r="B546" t="str">
        <v>Madrid, Madrid</v>
      </c>
      <c r="C546" t="str">
        <v>verificar</v>
      </c>
      <c r="D546" t="str">
        <v>manila.estrellas@hotmail.com</v>
      </c>
      <c r="E546" t="str">
        <v>657418315</v>
      </c>
      <c r="F546" t="str">
        <v>Fútbol · RFFM</v>
      </c>
      <c r="G546" t="str">
        <v>Nuevo</v>
      </c>
      <c r="H546" t="str">
        <v/>
      </c>
      <c r="I546" t="str">
        <v/>
      </c>
      <c r="J546" t="str">
        <v>0</v>
      </c>
      <c r="K546" t="str">
        <v/>
      </c>
      <c r="L546" t="str">
        <v>Enviar Email 1</v>
      </c>
      <c r="M546" t="str">
        <v/>
      </c>
      <c r="N546" t="str">
        <v>3 equipos · Pres: LUIS MARIA RUIZ ORTEGA · IG:e.dmanilaestrellasf.s</v>
      </c>
    </row>
    <row r="547">
      <c r="A547" t="str">
        <v>S.A.D. STELLA MARIS LA GAVIA</v>
      </c>
      <c r="B547" t="str">
        <v>Madrid, Madrid</v>
      </c>
      <c r="C547" t="str">
        <v>verificar</v>
      </c>
      <c r="D547" t="str">
        <v>sadfutbol@stellamariscolegio.com</v>
      </c>
      <c r="E547" t="str">
        <v>913005070</v>
      </c>
      <c r="F547" t="str">
        <v>Fútbol · RFFM</v>
      </c>
      <c r="G547" t="str">
        <v>Nuevo</v>
      </c>
      <c r="H547" t="str">
        <v/>
      </c>
      <c r="I547" t="str">
        <v/>
      </c>
      <c r="J547" t="str">
        <v>0</v>
      </c>
      <c r="K547" t="str">
        <v/>
      </c>
      <c r="L547" t="str">
        <v>Enviar Email 1</v>
      </c>
      <c r="M547" t="str">
        <v/>
      </c>
      <c r="N547" t="str">
        <v>18 equipos · Pres: MARIA DEL CARMEN PÉREZ-AGUILERA SANCHEZ</v>
      </c>
    </row>
    <row r="548">
      <c r="A548" t="str">
        <v>C.D.E. ESC. DEP. MPAL. PELAYOS DE LA PRESA</v>
      </c>
      <c r="B548" t="str">
        <v>Pelayos De La Presa, Madrid</v>
      </c>
      <c r="C548" t="str">
        <v>verificar</v>
      </c>
      <c r="D548" t="str">
        <v>depoortepelayos@hotmail.com</v>
      </c>
      <c r="E548" t="str">
        <v>verificar</v>
      </c>
      <c r="F548" t="str">
        <v>Fútbol · RFFM</v>
      </c>
      <c r="G548" t="str">
        <v>Nuevo</v>
      </c>
      <c r="H548" t="str">
        <v/>
      </c>
      <c r="I548" t="str">
        <v/>
      </c>
      <c r="J548" t="str">
        <v>0</v>
      </c>
      <c r="K548" t="str">
        <v/>
      </c>
      <c r="L548" t="str">
        <v>Enviar Email 1</v>
      </c>
      <c r="M548" t="str">
        <v/>
      </c>
      <c r="N548" t="str">
        <v>7 equipos · FB:https://www.facebook.com/polideportivopelayosdelapresa</v>
      </c>
    </row>
    <row r="549">
      <c r="A549" t="str">
        <v>C.D.E RACING VICALVARO</v>
      </c>
      <c r="B549" t="str">
        <v>Madrid, Madrid</v>
      </c>
      <c r="C549" t="str">
        <v>verificar</v>
      </c>
      <c r="D549" t="str">
        <v>cderacingvicalvaro@gmail.com</v>
      </c>
      <c r="E549" t="str">
        <v>628463456</v>
      </c>
      <c r="F549" t="str">
        <v>Fútbol · RFFM</v>
      </c>
      <c r="G549" t="str">
        <v>Nuevo</v>
      </c>
      <c r="H549" t="str">
        <v/>
      </c>
      <c r="I549" t="str">
        <v/>
      </c>
      <c r="J549" t="str">
        <v>0</v>
      </c>
      <c r="K549" t="str">
        <v/>
      </c>
      <c r="L549" t="str">
        <v>Enviar Email 1</v>
      </c>
      <c r="M549" t="str">
        <v/>
      </c>
      <c r="N549" t="str">
        <v>1 equipos · Pres: MERCEDES MORALES MONTES</v>
      </c>
    </row>
    <row r="550">
      <c r="A550" t="str">
        <v>CDE ARROW SPORTS</v>
      </c>
      <c r="B550" t="str">
        <v>Arroyomolinos, Madrid</v>
      </c>
      <c r="C550" t="str">
        <v>https://www.arrowsports.es</v>
      </c>
      <c r="D550" t="str">
        <v>verificar</v>
      </c>
      <c r="E550" t="str">
        <v>verificar</v>
      </c>
      <c r="F550" t="str">
        <v>Fútbol · RFFM</v>
      </c>
      <c r="G550" t="str">
        <v>Nuevo</v>
      </c>
      <c r="H550" t="str">
        <v/>
      </c>
      <c r="I550" t="str">
        <v/>
      </c>
      <c r="J550" t="str">
        <v>0</v>
      </c>
      <c r="K550" t="str">
        <v/>
      </c>
      <c r="L550" t="str">
        <v>Enviar Email 1</v>
      </c>
      <c r="M550" t="str">
        <v/>
      </c>
      <c r="N550" t="str">
        <v>19 equipos · Pres: RODRIGO LOPEZ CILLERO</v>
      </c>
    </row>
    <row r="551">
      <c r="A551" t="str">
        <v>C.D.E. ELITE SPORT</v>
      </c>
      <c r="B551" t="str">
        <v>Getafe, Madrid</v>
      </c>
      <c r="C551" t="str">
        <v>verificar</v>
      </c>
      <c r="D551" t="str">
        <v>elitefutbol2@gmail.com</v>
      </c>
      <c r="E551" t="str">
        <v>653989678</v>
      </c>
      <c r="F551" t="str">
        <v>Fútbol · RFFM</v>
      </c>
      <c r="G551" t="str">
        <v>Nuevo</v>
      </c>
      <c r="H551" t="str">
        <v/>
      </c>
      <c r="I551" t="str">
        <v/>
      </c>
      <c r="J551" t="str">
        <v>0</v>
      </c>
      <c r="K551" t="str">
        <v/>
      </c>
      <c r="L551" t="str">
        <v>Enviar Email 1</v>
      </c>
      <c r="M551" t="str">
        <v/>
      </c>
      <c r="N551" t="str">
        <v>2 equipos</v>
      </c>
    </row>
    <row r="552">
      <c r="A552" t="str">
        <v>CDE JUVENTUD ROLLER</v>
      </c>
      <c r="B552" t="str">
        <v>Fuenlabrada, Madrid</v>
      </c>
      <c r="C552" t="str">
        <v>verificar</v>
      </c>
      <c r="D552" t="str">
        <v>info@cdejuventudroller.es</v>
      </c>
      <c r="E552" t="str">
        <v>616939531</v>
      </c>
      <c r="F552" t="str">
        <v>Fútbol · RFFM</v>
      </c>
      <c r="G552" t="str">
        <v>Nuevo</v>
      </c>
      <c r="H552" t="str">
        <v/>
      </c>
      <c r="I552" t="str">
        <v/>
      </c>
      <c r="J552" t="str">
        <v>0</v>
      </c>
      <c r="K552" t="str">
        <v/>
      </c>
      <c r="L552" t="str">
        <v>Enviar Email 1</v>
      </c>
      <c r="M552" t="str">
        <v/>
      </c>
      <c r="N552" t="str">
        <v>8 equipos · Pres: CRISTOFER SUAREZ ESQUINAS · IG:@JuventudRoller</v>
      </c>
    </row>
    <row r="553">
      <c r="A553" t="str">
        <v>CDE PINTO ACADEMY FC</v>
      </c>
      <c r="B553" t="str">
        <v>Pinto, Madrid</v>
      </c>
      <c r="C553" t="str">
        <v>https://www.dracademyfootball.com</v>
      </c>
      <c r="D553" t="str">
        <v>equipodr@dracademyfootball.com</v>
      </c>
      <c r="E553" t="str">
        <v>661624427</v>
      </c>
      <c r="F553" t="str">
        <v>Fútbol · RFFM</v>
      </c>
      <c r="G553" t="str">
        <v>Nuevo</v>
      </c>
      <c r="H553" t="str">
        <v/>
      </c>
      <c r="I553" t="str">
        <v/>
      </c>
      <c r="J553" t="str">
        <v>0</v>
      </c>
      <c r="K553" t="str">
        <v/>
      </c>
      <c r="L553" t="str">
        <v>Enviar Email 1</v>
      </c>
      <c r="M553" t="str">
        <v/>
      </c>
      <c r="N553" t="str">
        <v>20 equipos · Pres: DARIO ROLDAN RUIZ · IG:https://www.instagram.com/dracademyfootball/</v>
      </c>
    </row>
    <row r="554">
      <c r="A554" t="str">
        <v>CDE FOOTBALL MILES</v>
      </c>
      <c r="B554" t="str">
        <v>Torrejón De Ardoz, Madrid</v>
      </c>
      <c r="C554" t="str">
        <v>https://www.milesvaldemoro.es</v>
      </c>
      <c r="D554" t="str">
        <v>oscarbueno86@gmail.com</v>
      </c>
      <c r="E554" t="str">
        <v>676088414</v>
      </c>
      <c r="F554" t="str">
        <v>Fútbol · RFFM</v>
      </c>
      <c r="G554" t="str">
        <v>Nuevo</v>
      </c>
      <c r="H554" t="str">
        <v/>
      </c>
      <c r="I554" t="str">
        <v/>
      </c>
      <c r="J554" t="str">
        <v>0</v>
      </c>
      <c r="K554" t="str">
        <v/>
      </c>
      <c r="L554" t="str">
        <v>Enviar Email 1</v>
      </c>
      <c r="M554" t="str">
        <v/>
      </c>
      <c r="N554" t="str">
        <v>4 equipos · Pres: PEDRO TRILLO LOZANO · IG:Miles Football Club</v>
      </c>
    </row>
    <row r="555">
      <c r="A555" t="str">
        <v>CDE SAN PABLO C-70</v>
      </c>
      <c r="B555" t="str">
        <v>Coslada, Madrid</v>
      </c>
      <c r="C555" t="str">
        <v>verificar</v>
      </c>
      <c r="D555" t="str">
        <v>husodi@gmail.com</v>
      </c>
      <c r="E555" t="str">
        <v>607979434</v>
      </c>
      <c r="F555" t="str">
        <v>Fútbol · RFFM</v>
      </c>
      <c r="G555" t="str">
        <v>Nuevo</v>
      </c>
      <c r="H555" t="str">
        <v/>
      </c>
      <c r="I555" t="str">
        <v/>
      </c>
      <c r="J555" t="str">
        <v>0</v>
      </c>
      <c r="K555" t="str">
        <v/>
      </c>
      <c r="L555" t="str">
        <v>Enviar Email 1</v>
      </c>
      <c r="M555" t="str">
        <v/>
      </c>
      <c r="N555" t="str">
        <v>2 equipos · Pres: SONIA DIAZ GIL · FB:C.D SAN PABLO C-70 · IG:C.d_sanpabloc70</v>
      </c>
    </row>
    <row r="556">
      <c r="A556" t="str">
        <v>CDE INTERNATIONAL SOCCER PROMISES</v>
      </c>
      <c r="B556" t="str">
        <v>Getafe, Madrid</v>
      </c>
      <c r="C556" t="str">
        <v>https://www.isoccerpromises.com</v>
      </c>
      <c r="D556" t="str">
        <v>info@isoccerpromises.com</v>
      </c>
      <c r="E556" t="str">
        <v>verificar</v>
      </c>
      <c r="F556" t="str">
        <v>Fútbol · RFFM</v>
      </c>
      <c r="G556" t="str">
        <v>Nuevo</v>
      </c>
      <c r="H556" t="str">
        <v/>
      </c>
      <c r="I556" t="str">
        <v/>
      </c>
      <c r="J556" t="str">
        <v>0</v>
      </c>
      <c r="K556" t="str">
        <v/>
      </c>
      <c r="L556" t="str">
        <v>Enviar Email 1</v>
      </c>
      <c r="M556" t="str">
        <v/>
      </c>
      <c r="N556" t="str">
        <v>1 equipos · Pres: JESUS ALBERTO PIÑERO RINCON · FB:isoccerpromises · IG:https://www.instagram.com/isoccerpromises/</v>
      </c>
    </row>
    <row r="557">
      <c r="A557" t="str">
        <v>CDE UNION DEPORTIVA TORRELODONES ( BAJA TEMP 2025-2026)</v>
      </c>
      <c r="B557" t="str">
        <v>Torrelodones, Madrid</v>
      </c>
      <c r="C557" t="str">
        <v>verificar</v>
      </c>
      <c r="D557" t="str">
        <v>verificar</v>
      </c>
      <c r="E557" t="str">
        <v>663764028</v>
      </c>
      <c r="F557" t="str">
        <v>Fútbol · RFFM</v>
      </c>
      <c r="G557" t="str">
        <v>Nuevo</v>
      </c>
      <c r="H557" t="str">
        <v/>
      </c>
      <c r="I557" t="str">
        <v/>
      </c>
      <c r="J557" t="str">
        <v>0</v>
      </c>
      <c r="K557" t="str">
        <v/>
      </c>
      <c r="L557" t="str">
        <v>Enviar Email 1</v>
      </c>
      <c r="M557" t="str">
        <v/>
      </c>
      <c r="N557" t="str">
        <v>- equipos · Pres: GUSTAVO BERNAEZ AYUSO</v>
      </c>
    </row>
    <row r="558">
      <c r="A558" t="str">
        <v>CDE ELITE PARLA</v>
      </c>
      <c r="B558" t="str">
        <v>Parla, Madrid</v>
      </c>
      <c r="C558" t="str">
        <v>https://eliteparla@hotmail.com</v>
      </c>
      <c r="D558" t="str">
        <v>eliteparla@hotmail.com</v>
      </c>
      <c r="E558" t="str">
        <v>634724360</v>
      </c>
      <c r="F558" t="str">
        <v>Fútbol · RFFM</v>
      </c>
      <c r="G558" t="str">
        <v>Nuevo</v>
      </c>
      <c r="H558" t="str">
        <v/>
      </c>
      <c r="I558" t="str">
        <v/>
      </c>
      <c r="J558" t="str">
        <v>0</v>
      </c>
      <c r="K558" t="str">
        <v/>
      </c>
      <c r="L558" t="str">
        <v>Enviar Email 1</v>
      </c>
      <c r="M558" t="str">
        <v/>
      </c>
      <c r="N558" t="str">
        <v>10 equipos · IG:cde.eliteparla</v>
      </c>
    </row>
    <row r="559">
      <c r="A559" t="str">
        <v>CDE NUEVO VILLANUEVA DEL PARDILLO</v>
      </c>
      <c r="B559" t="str">
        <v>Villanueva del Pardillo, Madrid</v>
      </c>
      <c r="C559" t="str">
        <v>https://www.villanuevadelpardillo.club</v>
      </c>
      <c r="D559" t="str">
        <v>cdevvadelpardillo@gmail.com</v>
      </c>
      <c r="E559" t="str">
        <v>626458813</v>
      </c>
      <c r="F559" t="str">
        <v>Fútbol · RFFM</v>
      </c>
      <c r="G559" t="str">
        <v>Nuevo</v>
      </c>
      <c r="H559" t="str">
        <v/>
      </c>
      <c r="I559" t="str">
        <v/>
      </c>
      <c r="J559" t="str">
        <v>0</v>
      </c>
      <c r="K559" t="str">
        <v/>
      </c>
      <c r="L559" t="str">
        <v>Enviar Email 1</v>
      </c>
      <c r="M559" t="str">
        <v/>
      </c>
      <c r="N559" t="str">
        <v>16 equipos · Pres: ENRIQUE ROPERO ALVAREZ · IG:cde.vvadelpardillo</v>
      </c>
    </row>
    <row r="560">
      <c r="A560" t="str">
        <v>S.A.D. VILLAVERDE BOETTICHER</v>
      </c>
      <c r="B560" t="str">
        <v>Madrid, Madrid</v>
      </c>
      <c r="C560" t="str">
        <v>verificar</v>
      </c>
      <c r="D560" t="str">
        <v>sadvillaverdeboetticher@hotmail.com</v>
      </c>
      <c r="E560" t="str">
        <v>683313938</v>
      </c>
      <c r="F560" t="str">
        <v>Fútbol · RFFM</v>
      </c>
      <c r="G560" t="str">
        <v>Nuevo</v>
      </c>
      <c r="H560" t="str">
        <v/>
      </c>
      <c r="I560" t="str">
        <v/>
      </c>
      <c r="J560" t="str">
        <v>0</v>
      </c>
      <c r="K560" t="str">
        <v/>
      </c>
      <c r="L560" t="str">
        <v>Enviar Email 1</v>
      </c>
      <c r="M560" t="str">
        <v/>
      </c>
      <c r="N560" t="str">
        <v>2 equipos</v>
      </c>
    </row>
    <row r="561">
      <c r="A561" t="str">
        <v>C.D.E INNOVA MORATALAZ</v>
      </c>
      <c r="B561" t="str">
        <v>Madrid, Madrid</v>
      </c>
      <c r="C561" t="str">
        <v>https://www.innovamoratalaz.es</v>
      </c>
      <c r="D561" t="str">
        <v>info@innovamoratalaz.es</v>
      </c>
      <c r="E561" t="str">
        <v>664239272</v>
      </c>
      <c r="F561" t="str">
        <v>Fútbol · RFFM</v>
      </c>
      <c r="G561" t="str">
        <v>Nuevo</v>
      </c>
      <c r="H561" t="str">
        <v/>
      </c>
      <c r="I561" t="str">
        <v/>
      </c>
      <c r="J561" t="str">
        <v>0</v>
      </c>
      <c r="K561" t="str">
        <v/>
      </c>
      <c r="L561" t="str">
        <v>Enviar Email 1</v>
      </c>
      <c r="M561" t="str">
        <v/>
      </c>
      <c r="N561" t="str">
        <v>19 equipos · Pres: DANIEL CARABAÑO MANZANO · FB:https://www.facebook.com/innovamoratalaz/ · IG:https://www.instagram.com/innovamoratalaz/</v>
      </c>
    </row>
    <row r="562">
      <c r="A562" t="str">
        <v>CDE DS TRIVAL VALDERAS</v>
      </c>
      <c r="B562" t="str">
        <v>Alcorcón, Madrid</v>
      </c>
      <c r="C562" t="str">
        <v>verificar</v>
      </c>
      <c r="D562" t="str">
        <v>verificar</v>
      </c>
      <c r="E562" t="str">
        <v>677631610</v>
      </c>
      <c r="F562" t="str">
        <v>Fútbol · RFFM</v>
      </c>
      <c r="G562" t="str">
        <v>Nuevo</v>
      </c>
      <c r="H562" t="str">
        <v/>
      </c>
      <c r="I562" t="str">
        <v/>
      </c>
      <c r="J562" t="str">
        <v>0</v>
      </c>
      <c r="K562" t="str">
        <v/>
      </c>
      <c r="L562" t="str">
        <v>Enviar Email 1</v>
      </c>
      <c r="M562" t="str">
        <v/>
      </c>
      <c r="N562" t="str">
        <v>1 equipos · Pres: JORGE MURGA ALVAREZ</v>
      </c>
    </row>
    <row r="563">
      <c r="A563" t="str">
        <v>CLUB DE FUTBOL GETAFE FÉMINAS</v>
      </c>
      <c r="B563" t="str">
        <v>Getafe, Madrid</v>
      </c>
      <c r="C563" t="str">
        <v>https://www.getafefem.com</v>
      </c>
      <c r="D563" t="str">
        <v>direccion@getafefem.com</v>
      </c>
      <c r="E563" t="str">
        <v>603598232</v>
      </c>
      <c r="F563" t="str">
        <v>Fútbol · RFFM</v>
      </c>
      <c r="G563" t="str">
        <v>Nuevo</v>
      </c>
      <c r="H563" t="str">
        <v/>
      </c>
      <c r="I563" t="str">
        <v/>
      </c>
      <c r="J563" t="str">
        <v>0</v>
      </c>
      <c r="K563" t="str">
        <v/>
      </c>
      <c r="L563" t="str">
        <v>Enviar Email 1</v>
      </c>
      <c r="M563" t="str">
        <v/>
      </c>
      <c r="N563" t="str">
        <v>19 equipos · Pres: DAVID GONZALEZ HEREDIA</v>
      </c>
    </row>
    <row r="564">
      <c r="A564" t="str">
        <v>UNION DEPORTIVA JUVENTUD</v>
      </c>
      <c r="B564" t="str">
        <v>Madrid, Madrid</v>
      </c>
      <c r="C564" t="str">
        <v>https://udjuventud.com/</v>
      </c>
      <c r="D564" t="str">
        <v>direccion@udjuventud.com</v>
      </c>
      <c r="E564" t="str">
        <v>626332381</v>
      </c>
      <c r="F564" t="str">
        <v>Fútbol · RFFM</v>
      </c>
      <c r="G564" t="str">
        <v>Nuevo</v>
      </c>
      <c r="H564" t="str">
        <v/>
      </c>
      <c r="I564" t="str">
        <v/>
      </c>
      <c r="J564" t="str">
        <v>0</v>
      </c>
      <c r="K564" t="str">
        <v/>
      </c>
      <c r="L564" t="str">
        <v>Enviar Email 1</v>
      </c>
      <c r="M564" t="str">
        <v/>
      </c>
      <c r="N564" t="str">
        <v>6 equipos · Pres: ÁNGEL CUSTODIO LLANCE BLANCO · FB:https://www.facebook.com/union.deportiva.juventud/ · IG:@union_deportiva_juventud</v>
      </c>
    </row>
    <row r="565">
      <c r="A565" t="str">
        <v>A.D. JOIGNY</v>
      </c>
      <c r="B565" t="str">
        <v>Madrid, Madrid</v>
      </c>
      <c r="C565" t="str">
        <v>verificar</v>
      </c>
      <c r="D565" t="str">
        <v>verificar</v>
      </c>
      <c r="E565" t="str">
        <v>917672790</v>
      </c>
      <c r="F565" t="str">
        <v>Fútbol · RFFM</v>
      </c>
      <c r="G565" t="str">
        <v>Nuevo</v>
      </c>
      <c r="H565" t="str">
        <v/>
      </c>
      <c r="I565" t="str">
        <v/>
      </c>
      <c r="J565" t="str">
        <v>0</v>
      </c>
      <c r="K565" t="str">
        <v/>
      </c>
      <c r="L565" t="str">
        <v>Enviar Email 1</v>
      </c>
      <c r="M565" t="str">
        <v/>
      </c>
      <c r="N565" t="str">
        <v>4 equipos · Pres: CAROLINA GONZALO IRIGOYEN</v>
      </c>
    </row>
    <row r="566">
      <c r="A566" t="str">
        <v>SAD RACING CIUDAD DE MADRID</v>
      </c>
      <c r="B566" t="str">
        <v>Madrid, Madrid</v>
      </c>
      <c r="C566" t="str">
        <v>verificar</v>
      </c>
      <c r="D566" t="str">
        <v>info@racingmadrid.com</v>
      </c>
      <c r="E566" t="str">
        <v>verificar</v>
      </c>
      <c r="F566" t="str">
        <v>Fútbol · RFFM</v>
      </c>
      <c r="G566" t="str">
        <v>Nuevo</v>
      </c>
      <c r="H566" t="str">
        <v/>
      </c>
      <c r="I566" t="str">
        <v/>
      </c>
      <c r="J566" t="str">
        <v>0</v>
      </c>
      <c r="K566" t="str">
        <v/>
      </c>
      <c r="L566" t="str">
        <v>Enviar Email 1</v>
      </c>
      <c r="M566" t="str">
        <v/>
      </c>
      <c r="N566" t="str">
        <v>3 equipos · Pres: KULWANT SINGH NIJJAR</v>
      </c>
    </row>
    <row r="567">
      <c r="A567" t="str">
        <v>CDE VILLA LOECHES F.C. (BAJA TEMP. 2025-2026)</v>
      </c>
      <c r="B567" t="str">
        <v>Loeches, Madrid</v>
      </c>
      <c r="C567" t="str">
        <v>https://villa-loeches.webnode.es/</v>
      </c>
      <c r="D567" t="str">
        <v>elvillaloeches@gmail.com</v>
      </c>
      <c r="E567" t="str">
        <v>621313974</v>
      </c>
      <c r="F567" t="str">
        <v>Fútbol · RFFM</v>
      </c>
      <c r="G567" t="str">
        <v>Nuevo</v>
      </c>
      <c r="H567" t="str">
        <v/>
      </c>
      <c r="I567" t="str">
        <v/>
      </c>
      <c r="J567" t="str">
        <v>0</v>
      </c>
      <c r="K567" t="str">
        <v/>
      </c>
      <c r="L567" t="str">
        <v>Enviar Email 1</v>
      </c>
      <c r="M567" t="str">
        <v/>
      </c>
      <c r="N567" t="str">
        <v>- equipos · Pres: SILVIA GONZALEZ BUSTAMANTE · FB:El Villa Loeches  · IG:@villaloechesfc</v>
      </c>
    </row>
    <row r="568">
      <c r="A568" t="str">
        <v>CDE MIRAMONTE MADRID</v>
      </c>
      <c r="B568" t="str">
        <v>Madrid, Madrid</v>
      </c>
      <c r="C568" t="str">
        <v>verificar</v>
      </c>
      <c r="D568" t="str">
        <v>verificar</v>
      </c>
      <c r="E568" t="str">
        <v>verificar</v>
      </c>
      <c r="F568" t="str">
        <v>Fútbol · RFFM</v>
      </c>
      <c r="G568" t="str">
        <v>Nuevo</v>
      </c>
      <c r="H568" t="str">
        <v/>
      </c>
      <c r="I568" t="str">
        <v/>
      </c>
      <c r="J568" t="str">
        <v>0</v>
      </c>
      <c r="K568" t="str">
        <v/>
      </c>
      <c r="L568" t="str">
        <v>Enviar Email 1</v>
      </c>
      <c r="M568" t="str">
        <v/>
      </c>
      <c r="N568" t="str">
        <v>3 equipos · Pres: ALEJANDRO DIAZ DE LA ROSA</v>
      </c>
    </row>
    <row r="569">
      <c r="A569" t="str">
        <v>CDE IZOR NAVALCARNERO</v>
      </c>
      <c r="B569" t="str">
        <v>Navalcarnero, Madrid</v>
      </c>
      <c r="C569" t="str">
        <v>verificar</v>
      </c>
      <c r="D569" t="str">
        <v>vortiz73@gmail.com</v>
      </c>
      <c r="E569" t="str">
        <v>673684908</v>
      </c>
      <c r="F569" t="str">
        <v>Fútbol · RFFM</v>
      </c>
      <c r="G569" t="str">
        <v>Nuevo</v>
      </c>
      <c r="H569" t="str">
        <v/>
      </c>
      <c r="I569" t="str">
        <v/>
      </c>
      <c r="J569" t="str">
        <v>0</v>
      </c>
      <c r="K569" t="str">
        <v/>
      </c>
      <c r="L569" t="str">
        <v>Enviar Email 1</v>
      </c>
      <c r="M569" t="str">
        <v/>
      </c>
      <c r="N569" t="str">
        <v>1 equipos · Pres: VALENTIN ORTIZ MUÑOZ · IG:c.d.izor_navalcarnero</v>
      </c>
    </row>
    <row r="570">
      <c r="A570" t="str">
        <v>CDE SPARTAC DE HORTALEZA</v>
      </c>
      <c r="B570" t="str">
        <v>Madrid, Madrid</v>
      </c>
      <c r="C570" t="str">
        <v>verificar</v>
      </c>
      <c r="D570" t="str">
        <v>justlawabogados@gmail.com</v>
      </c>
      <c r="E570" t="str">
        <v>678768299</v>
      </c>
      <c r="F570" t="str">
        <v>Fútbol · RFFM</v>
      </c>
      <c r="G570" t="str">
        <v>Nuevo</v>
      </c>
      <c r="H570" t="str">
        <v/>
      </c>
      <c r="I570" t="str">
        <v/>
      </c>
      <c r="J570" t="str">
        <v>0</v>
      </c>
      <c r="K570" t="str">
        <v/>
      </c>
      <c r="L570" t="str">
        <v>Enviar Email 1</v>
      </c>
      <c r="M570" t="str">
        <v/>
      </c>
      <c r="N570" t="str">
        <v>1 equipos · Pres: OMAR FRANCISCO ABAD SANTISTEBAN · IG:cde_spartac_de_hortaleza</v>
      </c>
    </row>
    <row r="571">
      <c r="A571" t="str">
        <v>CDE ARGENTINO DE FUTBOL</v>
      </c>
      <c r="B571" t="str">
        <v>Alcalá De Henares, Madrid</v>
      </c>
      <c r="C571" t="str">
        <v>https://clubargentino.es</v>
      </c>
      <c r="D571" t="str">
        <v>info@clubargentino.es</v>
      </c>
      <c r="E571" t="str">
        <v>679247975</v>
      </c>
      <c r="F571" t="str">
        <v>Fútbol · RFFM</v>
      </c>
      <c r="G571" t="str">
        <v>Nuevo</v>
      </c>
      <c r="H571" t="str">
        <v/>
      </c>
      <c r="I571" t="str">
        <v/>
      </c>
      <c r="J571" t="str">
        <v>0</v>
      </c>
      <c r="K571" t="str">
        <v/>
      </c>
      <c r="L571" t="str">
        <v>Enviar Email 1</v>
      </c>
      <c r="M571" t="str">
        <v/>
      </c>
      <c r="N571" t="str">
        <v>2 equipos · Pres: ADRIAN VARELA · IG:clubargentino.es</v>
      </c>
    </row>
    <row r="572">
      <c r="A572" t="str">
        <v>CDE RACING CLUB SANSE</v>
      </c>
      <c r="B572" t="str">
        <v>San Sebastián De Los Reyes, Madrid</v>
      </c>
      <c r="C572" t="str">
        <v>verificar</v>
      </c>
      <c r="D572" t="str">
        <v>racingclubsanse@gmail.com</v>
      </c>
      <c r="E572" t="str">
        <v>verificar</v>
      </c>
      <c r="F572" t="str">
        <v>Fútbol · RFFM</v>
      </c>
      <c r="G572" t="str">
        <v>Nuevo</v>
      </c>
      <c r="H572" t="str">
        <v/>
      </c>
      <c r="I572" t="str">
        <v/>
      </c>
      <c r="J572" t="str">
        <v>0</v>
      </c>
      <c r="K572" t="str">
        <v/>
      </c>
      <c r="L572" t="str">
        <v>Enviar Email 1</v>
      </c>
      <c r="M572" t="str">
        <v/>
      </c>
      <c r="N572" t="str">
        <v>1 equipos · Pres: NATALIA HOLGUIN VAQUERIZAS</v>
      </c>
    </row>
    <row r="573">
      <c r="A573" t="str">
        <v>CDE MORATALAZ FEMENINO CLUB DE FUTBOL</v>
      </c>
      <c r="B573" t="str">
        <v>Madrid, Madrid</v>
      </c>
      <c r="C573" t="str">
        <v>https://www.moratalazfemeninocf.com</v>
      </c>
      <c r="D573" t="str">
        <v>info@moratalazfemeninocf.com</v>
      </c>
      <c r="E573" t="str">
        <v>618928716</v>
      </c>
      <c r="F573" t="str">
        <v>Fútbol · RFFM</v>
      </c>
      <c r="G573" t="str">
        <v>Nuevo</v>
      </c>
      <c r="H573" t="str">
        <v/>
      </c>
      <c r="I573" t="str">
        <v/>
      </c>
      <c r="J573" t="str">
        <v>0</v>
      </c>
      <c r="K573" t="str">
        <v/>
      </c>
      <c r="L573" t="str">
        <v>Enviar Email 1</v>
      </c>
      <c r="M573" t="str">
        <v/>
      </c>
      <c r="N573" t="str">
        <v>3 equipos · Pres: NAUZET SANTANA RAMOS · FB:Moratalaz Femenino C.F. · IG:@moratalazfemeninocf</v>
      </c>
    </row>
    <row r="574">
      <c r="A574" t="str">
        <v>CDE SPORTING DE VALLECAS C.F. (FS)</v>
      </c>
      <c r="B574" t="str">
        <v>Madrid, Madrid</v>
      </c>
      <c r="C574" t="str">
        <v>https://www.sportingdevallecas.es</v>
      </c>
      <c r="D574" t="str">
        <v>spv@sportingdevallecas.es</v>
      </c>
      <c r="E574" t="str">
        <v>665454828</v>
      </c>
      <c r="F574" t="str">
        <v>Fútbol · RFFM</v>
      </c>
      <c r="G574" t="str">
        <v>Nuevo</v>
      </c>
      <c r="H574" t="str">
        <v/>
      </c>
      <c r="I574" t="str">
        <v/>
      </c>
      <c r="J574" t="str">
        <v>0</v>
      </c>
      <c r="K574" t="str">
        <v/>
      </c>
      <c r="L574" t="str">
        <v>Enviar Email 1</v>
      </c>
      <c r="M574" t="str">
        <v/>
      </c>
      <c r="N574" t="str">
        <v>1 equipos · Pres: RAUL BEDMAR DE MINGO</v>
      </c>
    </row>
    <row r="575">
      <c r="A575" t="str">
        <v>CDE AQUILA (FS)</v>
      </c>
      <c r="B575" t="str">
        <v>Parla, Madrid</v>
      </c>
      <c r="C575" t="str">
        <v>https://www.colegioaquila.es</v>
      </c>
      <c r="D575" t="str">
        <v>futbolsala@colegioaquila.es</v>
      </c>
      <c r="E575" t="str">
        <v>615346412</v>
      </c>
      <c r="F575" t="str">
        <v>Fútbol · RFFM</v>
      </c>
      <c r="G575" t="str">
        <v>Nuevo</v>
      </c>
      <c r="H575" t="str">
        <v/>
      </c>
      <c r="I575" t="str">
        <v/>
      </c>
      <c r="J575" t="str">
        <v>0</v>
      </c>
      <c r="K575" t="str">
        <v/>
      </c>
      <c r="L575" t="str">
        <v>Enviar Email 1</v>
      </c>
      <c r="M575" t="str">
        <v/>
      </c>
      <c r="N575" t="str">
        <v>1 equipos · Pres: JAVIER JIMENEZ ROMAN · IG:@colegioaquila</v>
      </c>
    </row>
    <row r="576">
      <c r="A576" t="str">
        <v>CDE ATLETICO ALPEDRETE</v>
      </c>
      <c r="B576" t="str">
        <v>Alpedrete, Madrid</v>
      </c>
      <c r="C576" t="str">
        <v>verificar</v>
      </c>
      <c r="D576" t="str">
        <v>verificar</v>
      </c>
      <c r="E576" t="str">
        <v>675445450</v>
      </c>
      <c r="F576" t="str">
        <v>Fútbol · RFFM</v>
      </c>
      <c r="G576" t="str">
        <v>Nuevo</v>
      </c>
      <c r="H576" t="str">
        <v/>
      </c>
      <c r="I576" t="str">
        <v/>
      </c>
      <c r="J576" t="str">
        <v>0</v>
      </c>
      <c r="K576" t="str">
        <v/>
      </c>
      <c r="L576" t="str">
        <v>Enviar Email 1</v>
      </c>
      <c r="M576" t="str">
        <v/>
      </c>
      <c r="N576" t="str">
        <v>1 equipos · Pres: JUAN CARLOS CARRILLO REDONDO</v>
      </c>
    </row>
    <row r="577">
      <c r="A577" t="str">
        <v>CDE AZ MADRID</v>
      </c>
      <c r="B577" t="str">
        <v>Fuenlabrada, Madrid</v>
      </c>
      <c r="C577" t="str">
        <v>verificar</v>
      </c>
      <c r="D577" t="str">
        <v>info.azmadrid@gmail.com</v>
      </c>
      <c r="E577" t="str">
        <v>614233947</v>
      </c>
      <c r="F577" t="str">
        <v>Fútbol · RFFM</v>
      </c>
      <c r="G577" t="str">
        <v>Nuevo</v>
      </c>
      <c r="H577" t="str">
        <v/>
      </c>
      <c r="I577" t="str">
        <v/>
      </c>
      <c r="J577" t="str">
        <v>0</v>
      </c>
      <c r="K577" t="str">
        <v/>
      </c>
      <c r="L577" t="str">
        <v>Enviar Email 1</v>
      </c>
      <c r="M577" t="str">
        <v/>
      </c>
      <c r="N577" t="str">
        <v>4 equipos · Pres: JORGE MARRUPE HORCAJO · IG:cde_azmadrid_</v>
      </c>
    </row>
    <row r="578">
      <c r="A578" t="str">
        <v>CDE FOOTBALL CLUB EXTREME (BAJA TEMP 2025-2026)</v>
      </c>
      <c r="B578" t="str">
        <v>Moralzarzal, Madrid</v>
      </c>
      <c r="C578" t="str">
        <v>https://www.footballclubextreme.es</v>
      </c>
      <c r="D578" t="str">
        <v>fcextreme11@gmail.com</v>
      </c>
      <c r="E578" t="str">
        <v>628924895</v>
      </c>
      <c r="F578" t="str">
        <v>Fútbol · RFFM</v>
      </c>
      <c r="G578" t="str">
        <v>Nuevo</v>
      </c>
      <c r="H578" t="str">
        <v/>
      </c>
      <c r="I578" t="str">
        <v/>
      </c>
      <c r="J578" t="str">
        <v>0</v>
      </c>
      <c r="K578" t="str">
        <v/>
      </c>
      <c r="L578" t="str">
        <v>Enviar Email 1</v>
      </c>
      <c r="M578" t="str">
        <v/>
      </c>
      <c r="N578" t="str">
        <v>- equipos · Pres: JOSE ANGEL RUBIO PASTOR · IG:@FOOTBALL_CLUB_EXTREME</v>
      </c>
    </row>
    <row r="579">
      <c r="A579" t="str">
        <v>CDE INTER DE AMERICA</v>
      </c>
      <c r="B579" t="str">
        <v>San Sebastián De Los Reyes, Madrid</v>
      </c>
      <c r="C579" t="str">
        <v>verificar</v>
      </c>
      <c r="D579" t="str">
        <v>interdeamerica.madrid@gmail.com</v>
      </c>
      <c r="E579" t="str">
        <v>605419848</v>
      </c>
      <c r="F579" t="str">
        <v>Fútbol · RFFM</v>
      </c>
      <c r="G579" t="str">
        <v>Nuevo</v>
      </c>
      <c r="H579" t="str">
        <v/>
      </c>
      <c r="I579" t="str">
        <v/>
      </c>
      <c r="J579" t="str">
        <v>0</v>
      </c>
      <c r="K579" t="str">
        <v/>
      </c>
      <c r="L579" t="str">
        <v>Enviar Email 1</v>
      </c>
      <c r="M579" t="str">
        <v/>
      </c>
      <c r="N579" t="str">
        <v>1 equipos · Pres: FEDERICO GUSTAVO PEREZ CARNEVALI</v>
      </c>
    </row>
    <row r="580">
      <c r="A580" t="str">
        <v>CDE INTERNACIONAL DE MAJADAHONDA</v>
      </c>
      <c r="B580" t="str">
        <v>Majadahonda, Madrid</v>
      </c>
      <c r="C580" t="str">
        <v>https://www.interdemajadahonda.es</v>
      </c>
      <c r="D580" t="str">
        <v>interdemajadahonda@gmail.com</v>
      </c>
      <c r="E580" t="str">
        <v>verificar</v>
      </c>
      <c r="F580" t="str">
        <v>Fútbol · RFFM</v>
      </c>
      <c r="G580" t="str">
        <v>Nuevo</v>
      </c>
      <c r="H580" t="str">
        <v/>
      </c>
      <c r="I580" t="str">
        <v/>
      </c>
      <c r="J580" t="str">
        <v>0</v>
      </c>
      <c r="K580" t="str">
        <v/>
      </c>
      <c r="L580" t="str">
        <v>Enviar Email 1</v>
      </c>
      <c r="M580" t="str">
        <v/>
      </c>
      <c r="N580" t="str">
        <v>4 equipos · Pres: MARCOS RULLÁN SERRANO · IG:@intermajadahonda</v>
      </c>
    </row>
    <row r="581">
      <c r="A581" t="str">
        <v>CDE INTERSOL ALCORCON</v>
      </c>
      <c r="B581" t="str">
        <v>Alcorcón, Madrid</v>
      </c>
      <c r="C581" t="str">
        <v>verificar</v>
      </c>
      <c r="D581" t="str">
        <v>ignaciogarciamayoral@gmail.com</v>
      </c>
      <c r="E581" t="str">
        <v>620775340</v>
      </c>
      <c r="F581" t="str">
        <v>Fútbol · RFFM</v>
      </c>
      <c r="G581" t="str">
        <v>Nuevo</v>
      </c>
      <c r="H581" t="str">
        <v/>
      </c>
      <c r="I581" t="str">
        <v/>
      </c>
      <c r="J581" t="str">
        <v>0</v>
      </c>
      <c r="K581" t="str">
        <v/>
      </c>
      <c r="L581" t="str">
        <v>Enviar Email 1</v>
      </c>
      <c r="M581" t="str">
        <v/>
      </c>
      <c r="N581" t="str">
        <v>2 equipos · Pres: IGNACIO GARCIA MAYORAL · FB:intersol Alcorcon</v>
      </c>
    </row>
    <row r="582">
      <c r="A582" t="str">
        <v>CDE VILLA DE NAVALAGAMELLA</v>
      </c>
      <c r="B582" t="str">
        <v>Navalagamella, Madrid</v>
      </c>
      <c r="C582" t="str">
        <v>https://linktr.ee/cdenavalagamella</v>
      </c>
      <c r="D582" t="str">
        <v>verificar</v>
      </c>
      <c r="E582" t="str">
        <v>635331561</v>
      </c>
      <c r="F582" t="str">
        <v>Fútbol · RFFM</v>
      </c>
      <c r="G582" t="str">
        <v>Nuevo</v>
      </c>
      <c r="H582" t="str">
        <v/>
      </c>
      <c r="I582" t="str">
        <v/>
      </c>
      <c r="J582" t="str">
        <v>0</v>
      </c>
      <c r="K582" t="str">
        <v/>
      </c>
      <c r="L582" t="str">
        <v>Enviar Email 1</v>
      </c>
      <c r="M582" t="str">
        <v/>
      </c>
      <c r="N582" t="str">
        <v>4 equipos · Pres: FERNANDO MARIA ALVAREZ HERNANDEZ · FB:https://facebook.com/cdenavalagamella · IG:https://instagram.com/cdenavalagamella</v>
      </c>
    </row>
    <row r="583">
      <c r="A583" t="str">
        <v>CDB UNION DEPORTIVA ARGANZUELA</v>
      </c>
      <c r="B583" t="str">
        <v>Madrid, Madrid</v>
      </c>
      <c r="C583" t="str">
        <v>verificar</v>
      </c>
      <c r="D583" t="str">
        <v>info@udarganzuela.es</v>
      </c>
      <c r="E583" t="str">
        <v>629311911</v>
      </c>
      <c r="F583" t="str">
        <v>Fútbol · RFFM</v>
      </c>
      <c r="G583" t="str">
        <v>Nuevo</v>
      </c>
      <c r="H583" t="str">
        <v/>
      </c>
      <c r="I583" t="str">
        <v/>
      </c>
      <c r="J583" t="str">
        <v>0</v>
      </c>
      <c r="K583" t="str">
        <v/>
      </c>
      <c r="L583" t="str">
        <v>Enviar Email 1</v>
      </c>
      <c r="M583" t="str">
        <v/>
      </c>
      <c r="N583" t="str">
        <v>53 equipos · Pres: MARIA ROSARIO LAPAUSA PINTADO</v>
      </c>
    </row>
    <row r="584">
      <c r="A584" t="str">
        <v>CDE RACING VILLANUEVA DE PERALES</v>
      </c>
      <c r="B584" t="str">
        <v>Villanueva De Perales, Madrid</v>
      </c>
      <c r="C584" t="str">
        <v>verificar</v>
      </c>
      <c r="D584" t="str">
        <v>verificar</v>
      </c>
      <c r="E584" t="str">
        <v>659117262</v>
      </c>
      <c r="F584" t="str">
        <v>Fútbol · RFFM</v>
      </c>
      <c r="G584" t="str">
        <v>Nuevo</v>
      </c>
      <c r="H584" t="str">
        <v/>
      </c>
      <c r="I584" t="str">
        <v/>
      </c>
      <c r="J584" t="str">
        <v>0</v>
      </c>
      <c r="K584" t="str">
        <v/>
      </c>
      <c r="L584" t="str">
        <v>Enviar Email 1</v>
      </c>
      <c r="M584" t="str">
        <v/>
      </c>
      <c r="N584" t="str">
        <v>2 equipos · Pres: JOSE MIGUEL LLORET HERRANZ</v>
      </c>
    </row>
    <row r="585">
      <c r="A585" t="str">
        <v>CDE WINTER SQUAD (FS)</v>
      </c>
      <c r="B585" t="str">
        <v>Fuenlabrada, Madrid</v>
      </c>
      <c r="C585" t="str">
        <v>verificar</v>
      </c>
      <c r="D585" t="str">
        <v>wintersquad.2021@gmail.com</v>
      </c>
      <c r="E585" t="str">
        <v>636188381</v>
      </c>
      <c r="F585" t="str">
        <v>Fútbol · RFFM</v>
      </c>
      <c r="G585" t="str">
        <v>Nuevo</v>
      </c>
      <c r="H585" t="str">
        <v/>
      </c>
      <c r="I585" t="str">
        <v/>
      </c>
      <c r="J585" t="str">
        <v>0</v>
      </c>
      <c r="K585" t="str">
        <v/>
      </c>
      <c r="L585" t="str">
        <v>Enviar Email 1</v>
      </c>
      <c r="M585" t="str">
        <v/>
      </c>
      <c r="N585" t="str">
        <v>1 equipos · Pres: JOSE MANUEL GARCIA GARCIA</v>
      </c>
    </row>
    <row r="586">
      <c r="A586" t="str">
        <v>CDE POLIDEPORTIVO LOS MOLINOS (FS) (BAJA 2025-2026)</v>
      </c>
      <c r="B586" t="str">
        <v>Collado Villalba, Madrid</v>
      </c>
      <c r="C586" t="str">
        <v>verificar</v>
      </c>
      <c r="D586" t="str">
        <v>verificar</v>
      </c>
      <c r="E586" t="str">
        <v>verificar</v>
      </c>
      <c r="F586" t="str">
        <v>Fútbol · RFFM</v>
      </c>
      <c r="G586" t="str">
        <v>Nuevo</v>
      </c>
      <c r="H586" t="str">
        <v/>
      </c>
      <c r="I586" t="str">
        <v/>
      </c>
      <c r="J586" t="str">
        <v>0</v>
      </c>
      <c r="K586" t="str">
        <v/>
      </c>
      <c r="L586" t="str">
        <v>Enviar Email 1</v>
      </c>
      <c r="M586" t="str">
        <v/>
      </c>
      <c r="N586" t="str">
        <v>- equipos · Pres: ADRIAN CIFUENTES SCHULZE</v>
      </c>
    </row>
    <row r="587">
      <c r="A587" t="str">
        <v>CDE AMET (FS)</v>
      </c>
      <c r="B587" t="str">
        <v>Madrid, Madrid</v>
      </c>
      <c r="C587" t="str">
        <v>https://www.cdamet.es</v>
      </c>
      <c r="D587" t="str">
        <v>futsal@cdamet.es</v>
      </c>
      <c r="E587" t="str">
        <v>669083446</v>
      </c>
      <c r="F587" t="str">
        <v>Fútbol · RFFM</v>
      </c>
      <c r="G587" t="str">
        <v>Nuevo</v>
      </c>
      <c r="H587" t="str">
        <v/>
      </c>
      <c r="I587" t="str">
        <v/>
      </c>
      <c r="J587" t="str">
        <v>0</v>
      </c>
      <c r="K587" t="str">
        <v/>
      </c>
      <c r="L587" t="str">
        <v>Enviar Email 1</v>
      </c>
      <c r="M587" t="str">
        <v/>
      </c>
      <c r="N587" t="str">
        <v>1 equipos · Pres: LAURA GARCIA DIAZ · IG:cd_amet</v>
      </c>
    </row>
    <row r="588">
      <c r="A588" t="str">
        <v>CDE FUTBOL CLUB SAMBA (BAJA TEMP 2025-2026)</v>
      </c>
      <c r="B588" t="str">
        <v>Las Rozas de Madrid, Madrid</v>
      </c>
      <c r="C588" t="str">
        <v>verificar</v>
      </c>
      <c r="D588" t="str">
        <v>verificar</v>
      </c>
      <c r="E588" t="str">
        <v>verificar</v>
      </c>
      <c r="F588" t="str">
        <v>Fútbol · RFFM</v>
      </c>
      <c r="G588" t="str">
        <v>Nuevo</v>
      </c>
      <c r="H588" t="str">
        <v/>
      </c>
      <c r="I588" t="str">
        <v/>
      </c>
      <c r="J588" t="str">
        <v>0</v>
      </c>
      <c r="K588" t="str">
        <v/>
      </c>
      <c r="L588" t="str">
        <v>Enviar Email 1</v>
      </c>
      <c r="M588" t="str">
        <v/>
      </c>
      <c r="N588" t="str">
        <v>- equipos · Pres: ALVARO LOPEZ LEIS · IG:fcsamba1931</v>
      </c>
    </row>
    <row r="589">
      <c r="A589" t="str">
        <v>CDE VALMOJADO</v>
      </c>
      <c r="B589" t="str">
        <v>Fuenlabrada, Madrid</v>
      </c>
      <c r="C589" t="str">
        <v>http://deportes.valmojado.com/</v>
      </c>
      <c r="D589" t="str">
        <v>verificar</v>
      </c>
      <c r="E589" t="str">
        <v>verificar</v>
      </c>
      <c r="F589" t="str">
        <v>Fútbol · RFFM</v>
      </c>
      <c r="G589" t="str">
        <v>Nuevo</v>
      </c>
      <c r="H589" t="str">
        <v/>
      </c>
      <c r="I589" t="str">
        <v/>
      </c>
      <c r="J589" t="str">
        <v>0</v>
      </c>
      <c r="K589" t="str">
        <v/>
      </c>
      <c r="L589" t="str">
        <v>Enviar Email 1</v>
      </c>
      <c r="M589" t="str">
        <v/>
      </c>
      <c r="N589" t="str">
        <v>6 equipos · Pres: MARIA LOURDES GARCIA NUÑEZ</v>
      </c>
    </row>
    <row r="590">
      <c r="A590" t="str">
        <v>CDE CHAMARTIN F.C.</v>
      </c>
      <c r="B590" t="str">
        <v>Madrid, Madrid</v>
      </c>
      <c r="C590" t="str">
        <v>https://www.chamartinfc.com</v>
      </c>
      <c r="D590" t="str">
        <v>info@chamartinfc.com</v>
      </c>
      <c r="E590" t="str">
        <v>670882459</v>
      </c>
      <c r="F590" t="str">
        <v>Fútbol · RFFM</v>
      </c>
      <c r="G590" t="str">
        <v>Nuevo</v>
      </c>
      <c r="H590" t="str">
        <v/>
      </c>
      <c r="I590" t="str">
        <v/>
      </c>
      <c r="J590" t="str">
        <v>0</v>
      </c>
      <c r="K590" t="str">
        <v/>
      </c>
      <c r="L590" t="str">
        <v>Enviar Email 1</v>
      </c>
      <c r="M590" t="str">
        <v/>
      </c>
      <c r="N590" t="str">
        <v>7 equipos · Pres: RICARDO LORENZO SUESCUN CALAHORRA · IG:chamartinfc</v>
      </c>
    </row>
    <row r="591">
      <c r="A591" t="str">
        <v>CDE ACADEMIA FENIX</v>
      </c>
      <c r="B591" t="str">
        <v>Madrid, Madrid</v>
      </c>
      <c r="C591" t="str">
        <v>https://academiafenix.eu</v>
      </c>
      <c r="D591" t="str">
        <v>info@academiafenix.eu</v>
      </c>
      <c r="E591" t="str">
        <v>647425381</v>
      </c>
      <c r="F591" t="str">
        <v>Fútbol · RFFM</v>
      </c>
      <c r="G591" t="str">
        <v>Nuevo</v>
      </c>
      <c r="H591" t="str">
        <v/>
      </c>
      <c r="I591" t="str">
        <v/>
      </c>
      <c r="J591" t="str">
        <v>0</v>
      </c>
      <c r="K591" t="str">
        <v/>
      </c>
      <c r="L591" t="str">
        <v>Enviar Email 1</v>
      </c>
      <c r="M591" t="str">
        <v/>
      </c>
      <c r="N591" t="str">
        <v>15 equipos · Pres: CRISTIAN GOMEZ FERNANDEZ · IG:https://www.instagram.com/academiafenix__/</v>
      </c>
    </row>
    <row r="592">
      <c r="A592" t="str">
        <v>CDE TOMAS GARCIA</v>
      </c>
      <c r="B592" t="str">
        <v>Torrejón De La Calzada, Madrid</v>
      </c>
      <c r="C592" t="str">
        <v>verificar</v>
      </c>
      <c r="D592" t="str">
        <v>JOSETOMAS74@YAHOO.ES</v>
      </c>
      <c r="E592" t="str">
        <v>607338711</v>
      </c>
      <c r="F592" t="str">
        <v>Fútbol · RFFM</v>
      </c>
      <c r="G592" t="str">
        <v>Nuevo</v>
      </c>
      <c r="H592" t="str">
        <v/>
      </c>
      <c r="I592" t="str">
        <v/>
      </c>
      <c r="J592" t="str">
        <v>0</v>
      </c>
      <c r="K592" t="str">
        <v/>
      </c>
      <c r="L592" t="str">
        <v>Enviar Email 1</v>
      </c>
      <c r="M592" t="str">
        <v/>
      </c>
      <c r="N592" t="str">
        <v>3 equipos · Pres: JOSE TOMAS GARCIA FLOREZ</v>
      </c>
    </row>
    <row r="593">
      <c r="A593" t="str">
        <v>CDE DAVID LLOYD</v>
      </c>
      <c r="B593" t="str">
        <v>Pozuelo De Alarcón, Madrid</v>
      </c>
      <c r="C593" t="str">
        <v>https://www.davidlloyd.es</v>
      </c>
      <c r="D593" t="str">
        <v>crisadonoso@gmail.com</v>
      </c>
      <c r="E593" t="str">
        <v>691581766</v>
      </c>
      <c r="F593" t="str">
        <v>Fútbol · RFFM</v>
      </c>
      <c r="G593" t="str">
        <v>Nuevo</v>
      </c>
      <c r="H593" t="str">
        <v/>
      </c>
      <c r="I593" t="str">
        <v/>
      </c>
      <c r="J593" t="str">
        <v>0</v>
      </c>
      <c r="K593" t="str">
        <v/>
      </c>
      <c r="L593" t="str">
        <v>Enviar Email 1</v>
      </c>
      <c r="M593" t="str">
        <v/>
      </c>
      <c r="N593" t="str">
        <v>4 equipos · Pres: JUAN IGNACIO GONZALEZ JIMENEZ · IG:@davidlloydacademy</v>
      </c>
    </row>
    <row r="594">
      <c r="A594" t="str">
        <v>CDE RACING DE MOSTOLES</v>
      </c>
      <c r="B594" t="str">
        <v>Madrid, Madrid</v>
      </c>
      <c r="C594" t="str">
        <v>verificar</v>
      </c>
      <c r="D594" t="str">
        <v>congomie@gmail.com</v>
      </c>
      <c r="E594" t="str">
        <v>664390492</v>
      </c>
      <c r="F594" t="str">
        <v>Fútbol · RFFM</v>
      </c>
      <c r="G594" t="str">
        <v>Nuevo</v>
      </c>
      <c r="H594" t="str">
        <v/>
      </c>
      <c r="I594" t="str">
        <v/>
      </c>
      <c r="J594" t="str">
        <v>0</v>
      </c>
      <c r="K594" t="str">
        <v/>
      </c>
      <c r="L594" t="str">
        <v>Enviar Email 1</v>
      </c>
      <c r="M594" t="str">
        <v/>
      </c>
      <c r="N594" t="str">
        <v>1 equipos · Pres: EDWIN ARTURO CONGO MURILLO · IG:https://www.instagram.com/cde_racing_de_mostoles_f11?igsh=NG1wZHhqa25tcGkw</v>
      </c>
    </row>
    <row r="595">
      <c r="A595" t="str">
        <v>CDE PERALES FUTBOL CLUB (FS)</v>
      </c>
      <c r="B595" t="str">
        <v>Madrid, Madrid</v>
      </c>
      <c r="C595" t="str">
        <v>verificar</v>
      </c>
      <c r="D595" t="str">
        <v>peralesfutbolclubgetafe@gmail.com</v>
      </c>
      <c r="E595" t="str">
        <v>608786396</v>
      </c>
      <c r="F595" t="str">
        <v>Fútbol · RFFM</v>
      </c>
      <c r="G595" t="str">
        <v>Nuevo</v>
      </c>
      <c r="H595" t="str">
        <v/>
      </c>
      <c r="I595" t="str">
        <v/>
      </c>
      <c r="J595" t="str">
        <v>0</v>
      </c>
      <c r="K595" t="str">
        <v/>
      </c>
      <c r="L595" t="str">
        <v>Enviar Email 1</v>
      </c>
      <c r="M595" t="str">
        <v/>
      </c>
      <c r="N595" t="str">
        <v>1 equipos · Pres: ANA JUSTA GARCIA RUIZ · IG:https://www.instagram.com/peralesfc/</v>
      </c>
    </row>
    <row r="596">
      <c r="A596" t="str">
        <v>CDE ESCUELA DEPORTIVA HCB</v>
      </c>
      <c r="B596" t="str">
        <v>Madrid, Madrid</v>
      </c>
      <c r="C596" t="str">
        <v>verificar</v>
      </c>
      <c r="D596" t="str">
        <v>verificar</v>
      </c>
      <c r="E596" t="str">
        <v>659999767</v>
      </c>
      <c r="F596" t="str">
        <v>Fútbol · RFFM</v>
      </c>
      <c r="G596" t="str">
        <v>Nuevo</v>
      </c>
      <c r="H596" t="str">
        <v/>
      </c>
      <c r="I596" t="str">
        <v/>
      </c>
      <c r="J596" t="str">
        <v>0</v>
      </c>
      <c r="K596" t="str">
        <v/>
      </c>
      <c r="L596" t="str">
        <v>Enviar Email 1</v>
      </c>
      <c r="M596" t="str">
        <v/>
      </c>
      <c r="N596" t="str">
        <v>3 equipos · Pres: FERNANDO CARRION MARQUEZ · IG:@escdephcb</v>
      </c>
    </row>
    <row r="597">
      <c r="A597" t="str">
        <v>C.D.E. MARTINOS</v>
      </c>
      <c r="B597" t="str">
        <v>Madrid, Madrid</v>
      </c>
      <c r="C597" t="str">
        <v>verificar</v>
      </c>
      <c r="D597" t="str">
        <v>verificar</v>
      </c>
      <c r="E597" t="str">
        <v>627882008</v>
      </c>
      <c r="F597" t="str">
        <v>Fútbol · RFFM</v>
      </c>
      <c r="G597" t="str">
        <v>Nuevo</v>
      </c>
      <c r="H597" t="str">
        <v/>
      </c>
      <c r="I597" t="str">
        <v/>
      </c>
      <c r="J597" t="str">
        <v>0</v>
      </c>
      <c r="K597" t="str">
        <v/>
      </c>
      <c r="L597" t="str">
        <v>Enviar Email 1</v>
      </c>
      <c r="M597" t="str">
        <v/>
      </c>
      <c r="N597" t="str">
        <v>1 equipos</v>
      </c>
    </row>
    <row r="598">
      <c r="A598" t="str">
        <v>CDB LA DEHESA DE HUMANES</v>
      </c>
      <c r="B598" t="str">
        <v>Humanes De Madrid, Madrid</v>
      </c>
      <c r="C598" t="str">
        <v>verificar</v>
      </c>
      <c r="D598" t="str">
        <v>verificar</v>
      </c>
      <c r="E598" t="str">
        <v>verificar</v>
      </c>
      <c r="F598" t="str">
        <v>Fútbol · RFFM</v>
      </c>
      <c r="G598" t="str">
        <v>Nuevo</v>
      </c>
      <c r="H598" t="str">
        <v/>
      </c>
      <c r="I598" t="str">
        <v/>
      </c>
      <c r="J598" t="str">
        <v>0</v>
      </c>
      <c r="K598" t="str">
        <v/>
      </c>
      <c r="L598" t="str">
        <v>Enviar Email 1</v>
      </c>
      <c r="M598" t="str">
        <v/>
      </c>
      <c r="N598" t="str">
        <v>3 equipos · Pres: CAROLINA GARCIA CEREZO</v>
      </c>
    </row>
    <row r="599">
      <c r="A599" t="str">
        <v>CDE DELTA JUVENTUD F.C.</v>
      </c>
      <c r="B599" t="str">
        <v>Madrid, Madrid</v>
      </c>
      <c r="C599" t="str">
        <v>verificar</v>
      </c>
      <c r="D599" t="str">
        <v>verificar</v>
      </c>
      <c r="E599" t="str">
        <v>648471806</v>
      </c>
      <c r="F599" t="str">
        <v>Fútbol · RFFM</v>
      </c>
      <c r="G599" t="str">
        <v>Nuevo</v>
      </c>
      <c r="H599" t="str">
        <v/>
      </c>
      <c r="I599" t="str">
        <v/>
      </c>
      <c r="J599" t="str">
        <v>0</v>
      </c>
      <c r="K599" t="str">
        <v/>
      </c>
      <c r="L599" t="str">
        <v>Enviar Email 1</v>
      </c>
      <c r="M599" t="str">
        <v/>
      </c>
      <c r="N599" t="str">
        <v>1 equipos · Pres: RICARDO GOMEZ-ACEBO MARTIN-RETORTILLO</v>
      </c>
    </row>
    <row r="600">
      <c r="A600" t="str">
        <v>CDE INTER SANSE FUTBOL SALA (FS)</v>
      </c>
      <c r="B600" t="str">
        <v>San Sebastián De Los Reyes, Madrid</v>
      </c>
      <c r="C600" t="str">
        <v>verificar</v>
      </c>
      <c r="D600" t="str">
        <v>verificar</v>
      </c>
      <c r="E600" t="str">
        <v>637323944</v>
      </c>
      <c r="F600" t="str">
        <v>Fútbol · RFFM</v>
      </c>
      <c r="G600" t="str">
        <v>Nuevo</v>
      </c>
      <c r="H600" t="str">
        <v/>
      </c>
      <c r="I600" t="str">
        <v/>
      </c>
      <c r="J600" t="str">
        <v>0</v>
      </c>
      <c r="K600" t="str">
        <v/>
      </c>
      <c r="L600" t="str">
        <v>Enviar Email 1</v>
      </c>
      <c r="M600" t="str">
        <v/>
      </c>
      <c r="N600" t="str">
        <v>1 equipos · Pres: JAVIER MUÑOZ SANCHEZ</v>
      </c>
    </row>
    <row r="601">
      <c r="A601" t="str">
        <v>LA MORALEJA CF ELITE</v>
      </c>
      <c r="B601" t="str">
        <v>Alcobendas, Madrid</v>
      </c>
      <c r="C601" t="str">
        <v>verificar</v>
      </c>
      <c r="D601" t="str">
        <v>verificar</v>
      </c>
      <c r="E601" t="str">
        <v>687460499</v>
      </c>
      <c r="F601" t="str">
        <v>Fútbol · RFFM</v>
      </c>
      <c r="G601" t="str">
        <v>Nuevo</v>
      </c>
      <c r="H601" t="str">
        <v/>
      </c>
      <c r="I601" t="str">
        <v/>
      </c>
      <c r="J601" t="str">
        <v>0</v>
      </c>
      <c r="K601" t="str">
        <v/>
      </c>
      <c r="L601" t="str">
        <v>Enviar Email 1</v>
      </c>
      <c r="M601" t="str">
        <v/>
      </c>
      <c r="N601" t="str">
        <v>1 equipos · Pres: JOSE MANUEL DAVILA DEL CERRO</v>
      </c>
    </row>
    <row r="602">
      <c r="A602" t="str">
        <v>CDE LEGANES OSUNA FEMINAS</v>
      </c>
      <c r="B602" t="str">
        <v>Leganés, Madrid</v>
      </c>
      <c r="C602" t="str">
        <v>verificar</v>
      </c>
      <c r="D602" t="str">
        <v>Osunafeminas@outlook.es</v>
      </c>
      <c r="E602" t="str">
        <v>616240377</v>
      </c>
      <c r="F602" t="str">
        <v>Fútbol · RFFM</v>
      </c>
      <c r="G602" t="str">
        <v>Nuevo</v>
      </c>
      <c r="H602" t="str">
        <v/>
      </c>
      <c r="I602" t="str">
        <v/>
      </c>
      <c r="J602" t="str">
        <v>0</v>
      </c>
      <c r="K602" t="str">
        <v/>
      </c>
      <c r="L602" t="str">
        <v>Enviar Email 1</v>
      </c>
      <c r="M602" t="str">
        <v/>
      </c>
      <c r="N602" t="str">
        <v>2 equipos · Pres: AITOR OSUNA MUÑOZ · IG:@osunafeminas</v>
      </c>
    </row>
    <row r="603">
      <c r="A603" t="str">
        <v>CDE PERREO FUTBOL CLUB</v>
      </c>
      <c r="B603" t="str">
        <v>Madrid, Madrid</v>
      </c>
      <c r="C603" t="str">
        <v>verificar</v>
      </c>
      <c r="D603" t="str">
        <v>info@perreofc.com</v>
      </c>
      <c r="E603" t="str">
        <v>650774905</v>
      </c>
      <c r="F603" t="str">
        <v>Fútbol · RFFM</v>
      </c>
      <c r="G603" t="str">
        <v>Nuevo</v>
      </c>
      <c r="H603" t="str">
        <v/>
      </c>
      <c r="I603" t="str">
        <v/>
      </c>
      <c r="J603" t="str">
        <v>0</v>
      </c>
      <c r="K603" t="str">
        <v/>
      </c>
      <c r="L603" t="str">
        <v>Enviar Email 1</v>
      </c>
      <c r="M603" t="str">
        <v/>
      </c>
      <c r="N603" t="str">
        <v>1 equipos · Pres: ALEJANDRO GAVILAN MARTINEZ · IG:https://www.instagram.com/perreofutbolclub/</v>
      </c>
    </row>
    <row r="604">
      <c r="A604" t="str">
        <v>CDE UDF VILLALBA</v>
      </c>
      <c r="B604" t="str">
        <v>Collado Villalba, Madrid</v>
      </c>
      <c r="C604" t="str">
        <v>https://www.udvillalba.com</v>
      </c>
      <c r="D604" t="str">
        <v>verificar</v>
      </c>
      <c r="E604" t="str">
        <v>verificar</v>
      </c>
      <c r="F604" t="str">
        <v>Fútbol · RFFM</v>
      </c>
      <c r="G604" t="str">
        <v>Nuevo</v>
      </c>
      <c r="H604" t="str">
        <v/>
      </c>
      <c r="I604" t="str">
        <v/>
      </c>
      <c r="J604" t="str">
        <v>0</v>
      </c>
      <c r="K604" t="str">
        <v/>
      </c>
      <c r="L604" t="str">
        <v>Enviar Email 1</v>
      </c>
      <c r="M604" t="str">
        <v/>
      </c>
      <c r="N604" t="str">
        <v>10 equipos · Pres: MARIO GOMEZ LOPEZ</v>
      </c>
    </row>
    <row r="605">
      <c r="A605" t="str">
        <v>CDE UNION DEPORTIVA INTERCAPITAL</v>
      </c>
      <c r="B605" t="str">
        <v>Madrid, Madrid</v>
      </c>
      <c r="C605" t="str">
        <v>https://www.udintercapital.com</v>
      </c>
      <c r="D605" t="str">
        <v>info@udintercapital.es</v>
      </c>
      <c r="E605" t="str">
        <v>680172700</v>
      </c>
      <c r="F605" t="str">
        <v>Fútbol · RFFM</v>
      </c>
      <c r="G605" t="str">
        <v>Nuevo</v>
      </c>
      <c r="H605" t="str">
        <v/>
      </c>
      <c r="I605" t="str">
        <v/>
      </c>
      <c r="J605" t="str">
        <v>0</v>
      </c>
      <c r="K605" t="str">
        <v/>
      </c>
      <c r="L605" t="str">
        <v>Enviar Email 1</v>
      </c>
      <c r="M605" t="str">
        <v/>
      </c>
      <c r="N605" t="str">
        <v>1 equipos · Pres: ANTONIO MARTINEZ GARCIA</v>
      </c>
    </row>
    <row r="606">
      <c r="A606" t="str">
        <v>CDE VALDEBEBAS NORTE</v>
      </c>
      <c r="B606" t="str">
        <v>Madrid, Madrid</v>
      </c>
      <c r="C606" t="str">
        <v>https://www.deportivovaldebebas.com</v>
      </c>
      <c r="D606" t="str">
        <v>info@deportivovaldebebas.com</v>
      </c>
      <c r="E606" t="str">
        <v>667500588</v>
      </c>
      <c r="F606" t="str">
        <v>Fútbol · RFFM</v>
      </c>
      <c r="G606" t="str">
        <v>Nuevo</v>
      </c>
      <c r="H606" t="str">
        <v/>
      </c>
      <c r="I606" t="str">
        <v/>
      </c>
      <c r="J606" t="str">
        <v>0</v>
      </c>
      <c r="K606" t="str">
        <v/>
      </c>
      <c r="L606" t="str">
        <v>Enviar Email 1</v>
      </c>
      <c r="M606" t="str">
        <v/>
      </c>
      <c r="N606" t="str">
        <v>1 equipos · Pres: SONIA CARBAJOSA LEDO</v>
      </c>
    </row>
    <row r="607">
      <c r="A607" t="str">
        <v>CDE TG ESCUELA FC (BAJA TEMP. 2025-2026)</v>
      </c>
      <c r="B607" t="str">
        <v>Madrid, Madrid</v>
      </c>
      <c r="C607" t="str">
        <v>verificar</v>
      </c>
      <c r="D607" t="str">
        <v>tgescuelafc@gmail.com</v>
      </c>
      <c r="E607" t="str">
        <v>687987323</v>
      </c>
      <c r="F607" t="str">
        <v>Fútbol · RFFM</v>
      </c>
      <c r="G607" t="str">
        <v>Nuevo</v>
      </c>
      <c r="H607" t="str">
        <v/>
      </c>
      <c r="I607" t="str">
        <v/>
      </c>
      <c r="J607" t="str">
        <v>0</v>
      </c>
      <c r="K607" t="str">
        <v/>
      </c>
      <c r="L607" t="str">
        <v>Enviar Email 1</v>
      </c>
      <c r="M607" t="str">
        <v/>
      </c>
      <c r="N607" t="str">
        <v>- equipos · Pres: DANIEL GOMEZ HERNANDEZ · FB:https://www.facebook.com/tgescuelafc/ · IG:https://www.instagram.com/tg_escuela_fc/</v>
      </c>
    </row>
    <row r="608">
      <c r="A608" t="str">
        <v>CDE TITULCIA CITY</v>
      </c>
      <c r="B608" t="str">
        <v>Titulcia, Madrid</v>
      </c>
      <c r="C608" t="str">
        <v>verificar</v>
      </c>
      <c r="D608" t="str">
        <v>verificar</v>
      </c>
      <c r="E608" t="str">
        <v>664491041</v>
      </c>
      <c r="F608" t="str">
        <v>Fútbol · RFFM</v>
      </c>
      <c r="G608" t="str">
        <v>Nuevo</v>
      </c>
      <c r="H608" t="str">
        <v/>
      </c>
      <c r="I608" t="str">
        <v/>
      </c>
      <c r="J608" t="str">
        <v>0</v>
      </c>
      <c r="K608" t="str">
        <v/>
      </c>
      <c r="L608" t="str">
        <v>Enviar Email 1</v>
      </c>
      <c r="M608" t="str">
        <v/>
      </c>
      <c r="N608" t="str">
        <v>2 equipos · Pres: ADRIAN MARTINEZ SANCHEZ · FB:futboltitulcia2025 · IG:futboltitulcia2025</v>
      </c>
    </row>
    <row r="609">
      <c r="A609" t="str">
        <v>CDE FC AURUM MADRID</v>
      </c>
      <c r="B609" t="str">
        <v>Madrid, Madrid</v>
      </c>
      <c r="C609" t="str">
        <v>verificar</v>
      </c>
      <c r="D609" t="str">
        <v>fcaurummadrid2025@gmail.com</v>
      </c>
      <c r="E609" t="str">
        <v>645886709</v>
      </c>
      <c r="F609" t="str">
        <v>Fútbol · RFFM</v>
      </c>
      <c r="G609" t="str">
        <v>Nuevo</v>
      </c>
      <c r="H609" t="str">
        <v/>
      </c>
      <c r="I609" t="str">
        <v/>
      </c>
      <c r="J609" t="str">
        <v>0</v>
      </c>
      <c r="K609" t="str">
        <v/>
      </c>
      <c r="L609" t="str">
        <v>Enviar Email 1</v>
      </c>
      <c r="M609" t="str">
        <v/>
      </c>
      <c r="N609" t="str">
        <v>3 equipos · Pres: ** MARIA PASCUAL RUBIO</v>
      </c>
    </row>
    <row r="610">
      <c r="A610" t="str">
        <v>CDE FUTBOL BASE DEPORTIVO TORRELODONES</v>
      </c>
      <c r="B610" t="str">
        <v>Las Rozas de Madrid, Madrid</v>
      </c>
      <c r="C610" t="str">
        <v>https://www.deportivotorrelodones.com</v>
      </c>
      <c r="D610" t="str">
        <v>contacto@deportivotorrelodones.com</v>
      </c>
      <c r="E610" t="str">
        <v>672460637</v>
      </c>
      <c r="F610" t="str">
        <v>Fútbol · RFFM</v>
      </c>
      <c r="G610" t="str">
        <v>Nuevo</v>
      </c>
      <c r="H610" t="str">
        <v/>
      </c>
      <c r="I610" t="str">
        <v/>
      </c>
      <c r="J610" t="str">
        <v>0</v>
      </c>
      <c r="K610" t="str">
        <v/>
      </c>
      <c r="L610" t="str">
        <v>Enviar Email 1</v>
      </c>
      <c r="M610" t="str">
        <v/>
      </c>
      <c r="N610" t="str">
        <v>13 equipos · Pres: SARA RAMON BAYON</v>
      </c>
    </row>
    <row r="611">
      <c r="A611" t="str">
        <v>CDE ESTILO ALCALA (BAJA TEMP 2025-2026)</v>
      </c>
      <c r="B611" t="str">
        <v>Alcalá De Henares, Madrid</v>
      </c>
      <c r="C611" t="str">
        <v>verificar</v>
      </c>
      <c r="D611" t="str">
        <v>verificar</v>
      </c>
      <c r="E611" t="str">
        <v>629606106</v>
      </c>
      <c r="F611" t="str">
        <v>Fútbol · RFFM</v>
      </c>
      <c r="G611" t="str">
        <v>Nuevo</v>
      </c>
      <c r="H611" t="str">
        <v/>
      </c>
      <c r="I611" t="str">
        <v/>
      </c>
      <c r="J611" t="str">
        <v>0</v>
      </c>
      <c r="K611" t="str">
        <v/>
      </c>
      <c r="L611" t="str">
        <v>Enviar Email 1</v>
      </c>
      <c r="M611" t="str">
        <v/>
      </c>
      <c r="N611" t="str">
        <v>- equipos · Pres: LUIS GREGORIO DIAZ GARCIA</v>
      </c>
    </row>
    <row r="612">
      <c r="A612" t="str">
        <v>SAD SPAIN FOOTBALL ACADEMY FC</v>
      </c>
      <c r="B612" t="str">
        <v>Alcorcón, Madrid</v>
      </c>
      <c r="C612" t="str">
        <v>https://spain-football.com/</v>
      </c>
      <c r="D612" t="str">
        <v>manager@spain-football-com</v>
      </c>
      <c r="E612" t="str">
        <v>603165954</v>
      </c>
      <c r="F612" t="str">
        <v>Fútbol · RFFM</v>
      </c>
      <c r="G612" t="str">
        <v>Nuevo</v>
      </c>
      <c r="H612" t="str">
        <v/>
      </c>
      <c r="I612" t="str">
        <v/>
      </c>
      <c r="J612" t="str">
        <v>0</v>
      </c>
      <c r="K612" t="str">
        <v/>
      </c>
      <c r="L612" t="str">
        <v>Enviar Email 1</v>
      </c>
      <c r="M612" t="str">
        <v/>
      </c>
      <c r="N612" t="str">
        <v>1 equipos · Pres: SERGEI PETOVICHEV</v>
      </c>
    </row>
    <row r="613">
      <c r="A613" t="str">
        <v>CDE FUTBOL SALA EL ARROYO (FS)</v>
      </c>
      <c r="B613" t="str">
        <v>Fuenlabrada, Madrid</v>
      </c>
      <c r="C613" t="str">
        <v>verificar</v>
      </c>
      <c r="D613" t="str">
        <v>fselarroyo@fselarroyo.com</v>
      </c>
      <c r="E613" t="str">
        <v>verificar</v>
      </c>
      <c r="F613" t="str">
        <v>Fútbol · RFFM</v>
      </c>
      <c r="G613" t="str">
        <v>Nuevo</v>
      </c>
      <c r="H613" t="str">
        <v/>
      </c>
      <c r="I613" t="str">
        <v/>
      </c>
      <c r="J613" t="str">
        <v>0</v>
      </c>
      <c r="K613" t="str">
        <v/>
      </c>
      <c r="L613" t="str">
        <v>Enviar Email 1</v>
      </c>
      <c r="M613" t="str">
        <v/>
      </c>
      <c r="N613" t="str">
        <v>1 equipos · Pres: FRANCISCO JAVIER DIAZ CLAUDIO</v>
      </c>
    </row>
    <row r="614">
      <c r="A614" t="str">
        <v>CDE MOSTOLES SUR FS (FS)</v>
      </c>
      <c r="B614" t="str">
        <v>Móstoles, Madrid</v>
      </c>
      <c r="C614" t="str">
        <v>verificar</v>
      </c>
      <c r="D614" t="str">
        <v>verificar</v>
      </c>
      <c r="E614" t="str">
        <v>684348101</v>
      </c>
      <c r="F614" t="str">
        <v>Fútbol · RFFM</v>
      </c>
      <c r="G614" t="str">
        <v>Nuevo</v>
      </c>
      <c r="H614" t="str">
        <v/>
      </c>
      <c r="I614" t="str">
        <v/>
      </c>
      <c r="J614" t="str">
        <v>0</v>
      </c>
      <c r="K614" t="str">
        <v/>
      </c>
      <c r="L614" t="str">
        <v>Enviar Email 1</v>
      </c>
      <c r="M614" t="str">
        <v/>
      </c>
      <c r="N614" t="str">
        <v>2 equipos · Pres: ALEJANDRO MOLINA MERINO · IG:cdemostolessurfs</v>
      </c>
    </row>
    <row r="615">
      <c r="A615" t="str">
        <v>CDE SAINT LOUIS DES FRANCAIS (BAJA 2025-2026) (NO LLEGO PARTICIPAR)</v>
      </c>
      <c r="B615" t="str">
        <v>Pozuelo De Alarcón, Madrid</v>
      </c>
      <c r="C615" t="str">
        <v>https://www.stlouisdesfrancais.com</v>
      </c>
      <c r="D615" t="str">
        <v>verificar</v>
      </c>
      <c r="E615" t="str">
        <v>689634161</v>
      </c>
      <c r="F615" t="str">
        <v>Fútbol · RFFM</v>
      </c>
      <c r="G615" t="str">
        <v>Nuevo</v>
      </c>
      <c r="H615" t="str">
        <v/>
      </c>
      <c r="I615" t="str">
        <v/>
      </c>
      <c r="J615" t="str">
        <v>0</v>
      </c>
      <c r="K615" t="str">
        <v/>
      </c>
      <c r="L615" t="str">
        <v>Enviar Email 1</v>
      </c>
      <c r="M615" t="str">
        <v/>
      </c>
      <c r="N615" t="str">
        <v>- equipos · Pres: FREDERIC DAVID NOEL DUMONT</v>
      </c>
    </row>
    <row r="616">
      <c r="A616" t="str">
        <v>C.D.E. VILLA SAN ISIDRO</v>
      </c>
      <c r="B616" t="str">
        <v>Madrid, Madrid</v>
      </c>
      <c r="C616" t="str">
        <v>verificar</v>
      </c>
      <c r="D616" t="str">
        <v>alexnereabryan92@gmail.com</v>
      </c>
      <c r="E616" t="str">
        <v>642476681</v>
      </c>
      <c r="F616" t="str">
        <v>Fútbol · RFFM</v>
      </c>
      <c r="G616" t="str">
        <v>Nuevo</v>
      </c>
      <c r="H616" t="str">
        <v/>
      </c>
      <c r="I616" t="str">
        <v/>
      </c>
      <c r="J616" t="str">
        <v>0</v>
      </c>
      <c r="K616" t="str">
        <v/>
      </c>
      <c r="L616" t="str">
        <v>Enviar Email 1</v>
      </c>
      <c r="M616" t="str">
        <v/>
      </c>
      <c r="N616" t="str">
        <v>4 equipos</v>
      </c>
    </row>
    <row r="617">
      <c r="A617" t="str">
        <v>CDE ACADEMIA INTERNACIONAL DE FUTBOL DE MADRID</v>
      </c>
      <c r="B617" t="str">
        <v>Getafe, Madrid</v>
      </c>
      <c r="C617" t="str">
        <v>verificar</v>
      </c>
      <c r="D617" t="str">
        <v>verificar</v>
      </c>
      <c r="E617" t="str">
        <v>616152021</v>
      </c>
      <c r="F617" t="str">
        <v>Fútbol · RFFM</v>
      </c>
      <c r="G617" t="str">
        <v>Nuevo</v>
      </c>
      <c r="H617" t="str">
        <v/>
      </c>
      <c r="I617" t="str">
        <v/>
      </c>
      <c r="J617" t="str">
        <v>0</v>
      </c>
      <c r="K617" t="str">
        <v/>
      </c>
      <c r="L617" t="str">
        <v>Enviar Email 1</v>
      </c>
      <c r="M617" t="str">
        <v/>
      </c>
      <c r="N617" t="str">
        <v>- equipos · Pres: GREGORIO LOPEZ ALDEHUELA</v>
      </c>
    </row>
    <row r="618">
      <c r="A618" t="str">
        <v>CDE DEPORTIVO CARRANQUE (BAJA TEMP 2025-2026)</v>
      </c>
      <c r="B618" t="str">
        <v>Arroyomolinos, Madrid</v>
      </c>
      <c r="C618" t="str">
        <v>verificar</v>
      </c>
      <c r="D618" t="str">
        <v>verificar</v>
      </c>
      <c r="E618" t="str">
        <v>626526036</v>
      </c>
      <c r="F618" t="str">
        <v>Fútbol · RFFM</v>
      </c>
      <c r="G618" t="str">
        <v>Nuevo</v>
      </c>
      <c r="H618" t="str">
        <v/>
      </c>
      <c r="I618" t="str">
        <v/>
      </c>
      <c r="J618" t="str">
        <v>0</v>
      </c>
      <c r="K618" t="str">
        <v/>
      </c>
      <c r="L618" t="str">
        <v>Enviar Email 1</v>
      </c>
      <c r="M618" t="str">
        <v/>
      </c>
      <c r="N618" t="str">
        <v>- equipos · Pres: **JONATAN GARCIA MUÑOZ</v>
      </c>
    </row>
    <row r="619">
      <c r="A619" t="str">
        <v>CDE ISCARCUP (BAJA TEMP. 2025-2026)</v>
      </c>
      <c r="B619" t="str">
        <v>Madrid, Madrid</v>
      </c>
      <c r="C619" t="str">
        <v>verificar</v>
      </c>
      <c r="D619" t="str">
        <v>verificar</v>
      </c>
      <c r="E619" t="str">
        <v>verificar</v>
      </c>
      <c r="F619" t="str">
        <v>Fútbol · RFFM</v>
      </c>
      <c r="G619" t="str">
        <v>Nuevo</v>
      </c>
      <c r="H619" t="str">
        <v/>
      </c>
      <c r="I619" t="str">
        <v/>
      </c>
      <c r="J619" t="str">
        <v>0</v>
      </c>
      <c r="K619" t="str">
        <v/>
      </c>
      <c r="L619" t="str">
        <v>Enviar Email 1</v>
      </c>
      <c r="M619" t="str">
        <v/>
      </c>
      <c r="N619" t="str">
        <v>- equipos · Pres: MARIA YOLANDA MARTIN VADILLO</v>
      </c>
    </row>
    <row r="620">
      <c r="A620" t="str">
        <v>CDE SPORTING KIDS</v>
      </c>
      <c r="B620" t="str">
        <v>Madrid, Madrid</v>
      </c>
      <c r="C620" t="str">
        <v>verificar</v>
      </c>
      <c r="D620" t="str">
        <v>verificar</v>
      </c>
      <c r="E620" t="str">
        <v>674670553</v>
      </c>
      <c r="F620" t="str">
        <v>Fútbol · RFFM</v>
      </c>
      <c r="G620" t="str">
        <v>Nuevo</v>
      </c>
      <c r="H620" t="str">
        <v/>
      </c>
      <c r="I620" t="str">
        <v/>
      </c>
      <c r="J620" t="str">
        <v>0</v>
      </c>
      <c r="K620" t="str">
        <v/>
      </c>
      <c r="L620" t="str">
        <v>Enviar Email 1</v>
      </c>
      <c r="M620" t="str">
        <v/>
      </c>
      <c r="N620" t="str">
        <v>2 equipos · Pres: **GONZALO VALDIVIA MONTES</v>
      </c>
    </row>
    <row r="621">
      <c r="A621" t="str">
        <v>SAD FUSP-CEU COMUNIDAD DE MADRID</v>
      </c>
      <c r="B621" t="str">
        <v>Madrid, Madrid</v>
      </c>
      <c r="C621" t="str">
        <v>verificar</v>
      </c>
      <c r="D621" t="str">
        <v>extraescolares.sanchinarro@ceu.es</v>
      </c>
      <c r="E621" t="str">
        <v>679101978</v>
      </c>
      <c r="F621" t="str">
        <v>Fútbol · RFFM</v>
      </c>
      <c r="G621" t="str">
        <v>Nuevo</v>
      </c>
      <c r="H621" t="str">
        <v/>
      </c>
      <c r="I621" t="str">
        <v/>
      </c>
      <c r="J621" t="str">
        <v>0</v>
      </c>
      <c r="K621" t="str">
        <v/>
      </c>
      <c r="L621" t="str">
        <v>Enviar Email 1</v>
      </c>
      <c r="M621" t="str">
        <v/>
      </c>
      <c r="N621" t="str">
        <v>1 equipos · Pres: LUIS MARTINEZ- ABARCA LORAN</v>
      </c>
    </row>
    <row r="622">
      <c r="A622" t="str">
        <v>CDE LOS LEONES DE MIRAFLORES (BAJA TEMP 2025-2026)</v>
      </c>
      <c r="B622" t="str">
        <v>Miraflores De La Sierra, Madrid</v>
      </c>
      <c r="C622" t="str">
        <v>verificar</v>
      </c>
      <c r="D622" t="str">
        <v>mborreguero21@gmail.com</v>
      </c>
      <c r="E622" t="str">
        <v>692052143</v>
      </c>
      <c r="F622" t="str">
        <v>Fútbol · RFFM</v>
      </c>
      <c r="G622" t="str">
        <v>Nuevo</v>
      </c>
      <c r="H622" t="str">
        <v/>
      </c>
      <c r="I622" t="str">
        <v/>
      </c>
      <c r="J622" t="str">
        <v>0</v>
      </c>
      <c r="K622" t="str">
        <v/>
      </c>
      <c r="L622" t="str">
        <v>Enviar Email 1</v>
      </c>
      <c r="M622" t="str">
        <v/>
      </c>
      <c r="N622" t="str">
        <v>- equipos · Pres: MARCOS BORREGUERO SANZ · IG:c.f.a.leonesdemiraflores</v>
      </c>
    </row>
    <row r="623">
      <c r="A623" t="str">
        <v>CDE AD FEMINAS QUIJORNA</v>
      </c>
      <c r="B623" t="str">
        <v>Quijorna, Madrid</v>
      </c>
      <c r="C623" t="str">
        <v>https://sites.google.com/view/adfeminasquijorna?usp=sharing</v>
      </c>
      <c r="D623" t="str">
        <v>adfeminasquijorna@gmail.com</v>
      </c>
      <c r="E623" t="str">
        <v>696003977</v>
      </c>
      <c r="F623" t="str">
        <v>Fútbol · RFFM</v>
      </c>
      <c r="G623" t="str">
        <v>Nuevo</v>
      </c>
      <c r="H623" t="str">
        <v/>
      </c>
      <c r="I623" t="str">
        <v/>
      </c>
      <c r="J623" t="str">
        <v>0</v>
      </c>
      <c r="K623" t="str">
        <v/>
      </c>
      <c r="L623" t="str">
        <v>Enviar Email 1</v>
      </c>
      <c r="M623" t="str">
        <v/>
      </c>
      <c r="N623" t="str">
        <v>1 equipos · Pres: SARA CERON ECHEVARRIA · IG:https://www.instagram.com/feminas_quijorna_cf?igsh=ZWh4ZmxkeXluNTBu</v>
      </c>
    </row>
    <row r="624">
      <c r="A624" t="str">
        <v>CDE FENIX FUENLABRADA (FS)</v>
      </c>
      <c r="B624" t="str">
        <v>Fuenlabrada, Madrid</v>
      </c>
      <c r="C624" t="str">
        <v>verificar</v>
      </c>
      <c r="D624" t="str">
        <v>raulfuenlabrada99.rvg@gmail.com</v>
      </c>
      <c r="E624" t="str">
        <v>628738170</v>
      </c>
      <c r="F624" t="str">
        <v>Fútbol · RFFM</v>
      </c>
      <c r="G624" t="str">
        <v>Nuevo</v>
      </c>
      <c r="H624" t="str">
        <v/>
      </c>
      <c r="I624" t="str">
        <v/>
      </c>
      <c r="J624" t="str">
        <v>0</v>
      </c>
      <c r="K624" t="str">
        <v/>
      </c>
      <c r="L624" t="str">
        <v>Enviar Email 1</v>
      </c>
      <c r="M624" t="str">
        <v/>
      </c>
      <c r="N624" t="str">
        <v>1 equipos · Pres: RAUL VELASCO GISBERT</v>
      </c>
    </row>
    <row r="625">
      <c r="A625" t="str">
        <v>CDE SPORT LATINA (FS)</v>
      </c>
      <c r="B625" t="str">
        <v>Madrid, Madrid</v>
      </c>
      <c r="C625" t="str">
        <v>https://aluchefutbolsala.es/</v>
      </c>
      <c r="D625" t="str">
        <v>escuela@aluchefutbolsala.es</v>
      </c>
      <c r="E625" t="str">
        <v>635807920</v>
      </c>
      <c r="F625" t="str">
        <v>Fútbol · RFFM</v>
      </c>
      <c r="G625" t="str">
        <v>Nuevo</v>
      </c>
      <c r="H625" t="str">
        <v/>
      </c>
      <c r="I625" t="str">
        <v/>
      </c>
      <c r="J625" t="str">
        <v>0</v>
      </c>
      <c r="K625" t="str">
        <v/>
      </c>
      <c r="L625" t="str">
        <v>Enviar Email 1</v>
      </c>
      <c r="M625" t="str">
        <v/>
      </c>
      <c r="N625" t="str">
        <v>1 equipos · Pres: PEDRO ANGEL DIAZ GUTIERREZ · FB:https://www.facebook.com/emfsaluche/ · IG:https://www.instagram.com/emaluchefs/</v>
      </c>
    </row>
    <row r="626">
      <c r="A626" t="str">
        <v>CDE ARGANZUELA FUTSAL (BAJA TEMP 2025-2026)</v>
      </c>
      <c r="B626" t="str">
        <v>Madrid, Madrid</v>
      </c>
      <c r="C626" t="str">
        <v>verificar</v>
      </c>
      <c r="D626" t="str">
        <v>HelloMoto29122025@outlook.com</v>
      </c>
      <c r="E626" t="str">
        <v>686758271</v>
      </c>
      <c r="F626" t="str">
        <v>Fútbol · RFFM</v>
      </c>
      <c r="G626" t="str">
        <v>Nuevo</v>
      </c>
      <c r="H626" t="str">
        <v/>
      </c>
      <c r="I626" t="str">
        <v/>
      </c>
      <c r="J626" t="str">
        <v>0</v>
      </c>
      <c r="K626" t="str">
        <v/>
      </c>
      <c r="L626" t="str">
        <v>Enviar Email 1</v>
      </c>
      <c r="M626" t="str">
        <v/>
      </c>
      <c r="N626" t="str">
        <v>- equipos · Pres: MARIO OSSORIO BUSTOS</v>
      </c>
    </row>
    <row r="627">
      <c r="A627" t="str">
        <v>SAD RACE</v>
      </c>
      <c r="B627" t="str">
        <v>Tres Cantos, Madrid</v>
      </c>
      <c r="C627" t="str">
        <v>verificar</v>
      </c>
      <c r="D627" t="str">
        <v>futbolrace2025@gmail.com</v>
      </c>
      <c r="E627" t="str">
        <v>670062652</v>
      </c>
      <c r="F627" t="str">
        <v>Fútbol · RFFM</v>
      </c>
      <c r="G627" t="str">
        <v>Nuevo</v>
      </c>
      <c r="H627" t="str">
        <v/>
      </c>
      <c r="I627" t="str">
        <v/>
      </c>
      <c r="J627" t="str">
        <v>0</v>
      </c>
      <c r="K627" t="str">
        <v/>
      </c>
      <c r="L627" t="str">
        <v>Enviar Email 1</v>
      </c>
      <c r="M627" t="str">
        <v/>
      </c>
      <c r="N627" t="str">
        <v>1 equipos · Pres: CARMELO SANZ DE BARROS</v>
      </c>
    </row>
    <row r="628">
      <c r="A628" t="str">
        <v>CDE ATLETISMO SPORTING DE HORTALEZA</v>
      </c>
      <c r="B628" t="str">
        <v>Madrid, Madrid</v>
      </c>
      <c r="C628" t="str">
        <v>verificar</v>
      </c>
      <c r="D628" t="str">
        <v>monicaromonjanes@gmail.com</v>
      </c>
      <c r="E628" t="str">
        <v>649927572</v>
      </c>
      <c r="F628" t="str">
        <v>Fútbol · RFFM</v>
      </c>
      <c r="G628" t="str">
        <v>Nuevo</v>
      </c>
      <c r="H628" t="str">
        <v/>
      </c>
      <c r="I628" t="str">
        <v/>
      </c>
      <c r="J628" t="str">
        <v>0</v>
      </c>
      <c r="K628" t="str">
        <v/>
      </c>
      <c r="L628" t="str">
        <v>Enviar Email 1</v>
      </c>
      <c r="M628" t="str">
        <v/>
      </c>
      <c r="N628" t="str">
        <v>1 equipos · Pres: **MONICA ROMON JANES</v>
      </c>
    </row>
    <row r="629">
      <c r="A629" t="str">
        <v>CDE FS LQNQF</v>
      </c>
      <c r="B629" t="str">
        <v>Getafe, Madrid</v>
      </c>
      <c r="C629" t="str">
        <v>verificar</v>
      </c>
      <c r="D629" t="str">
        <v>verificar</v>
      </c>
      <c r="E629" t="str">
        <v>608530504</v>
      </c>
      <c r="F629" t="str">
        <v>Fútbol · RFFM</v>
      </c>
      <c r="G629" t="str">
        <v>Nuevo</v>
      </c>
      <c r="H629" t="str">
        <v/>
      </c>
      <c r="I629" t="str">
        <v/>
      </c>
      <c r="J629" t="str">
        <v>0</v>
      </c>
      <c r="K629" t="str">
        <v/>
      </c>
      <c r="L629" t="str">
        <v>Enviar Email 1</v>
      </c>
      <c r="M629" t="str">
        <v/>
      </c>
      <c r="N629" t="str">
        <v>1 equipos · Pres: DANIEL ARIZA REY</v>
      </c>
    </row>
    <row r="630">
      <c r="A630" t="str">
        <v>C.D. CUATRO CAMINOS FUTBOL SALA (FS)</v>
      </c>
      <c r="B630" t="str">
        <v>Madrid, Madrid</v>
      </c>
      <c r="C630" t="str">
        <v>verificar</v>
      </c>
      <c r="D630" t="str">
        <v>mariano39brasan@gmail.com</v>
      </c>
      <c r="E630" t="str">
        <v>629404551</v>
      </c>
      <c r="F630" t="str">
        <v>Fútbol · RFFM</v>
      </c>
      <c r="G630" t="str">
        <v>Nuevo</v>
      </c>
      <c r="H630" t="str">
        <v/>
      </c>
      <c r="I630" t="str">
        <v/>
      </c>
      <c r="J630" t="str">
        <v>0</v>
      </c>
      <c r="K630" t="str">
        <v/>
      </c>
      <c r="L630" t="str">
        <v>Enviar Email 1</v>
      </c>
      <c r="M630" t="str">
        <v/>
      </c>
      <c r="N630" t="str">
        <v>1 equipos · Pres: MARIANO SANCHEZ BRACAMONTE · IG:cd.cuatrocaminos</v>
      </c>
    </row>
    <row r="631">
      <c r="A631" t="str">
        <v>PARQUE NORTE F.S. (FS)</v>
      </c>
      <c r="B631" t="str">
        <v>Madrid, Madrid</v>
      </c>
      <c r="C631" t="str">
        <v>verificar</v>
      </c>
      <c r="D631" t="str">
        <v>parquenortefs@gmail.com</v>
      </c>
      <c r="E631" t="str">
        <v>672069893</v>
      </c>
      <c r="F631" t="str">
        <v>Fútbol · RFFM</v>
      </c>
      <c r="G631" t="str">
        <v>Nuevo</v>
      </c>
      <c r="H631" t="str">
        <v/>
      </c>
      <c r="I631" t="str">
        <v/>
      </c>
      <c r="J631" t="str">
        <v>0</v>
      </c>
      <c r="K631" t="str">
        <v/>
      </c>
      <c r="L631" t="str">
        <v>Enviar Email 1</v>
      </c>
      <c r="M631" t="str">
        <v/>
      </c>
      <c r="N631" t="str">
        <v>3 equipos · Pres: VICTOR MOREIRA GIRALDO</v>
      </c>
    </row>
    <row r="632">
      <c r="A632" t="str">
        <v>CLUB ARGANDA FUTSAL (FS)</v>
      </c>
      <c r="B632" t="str">
        <v>Arganda Del Rey, Madrid</v>
      </c>
      <c r="C632" t="str">
        <v>https://argandafutsal.es</v>
      </c>
      <c r="D632" t="str">
        <v>info@argandafutsal.es</v>
      </c>
      <c r="E632" t="str">
        <v>639114725</v>
      </c>
      <c r="F632" t="str">
        <v>Fútbol · RFFM</v>
      </c>
      <c r="G632" t="str">
        <v>Nuevo</v>
      </c>
      <c r="H632" t="str">
        <v/>
      </c>
      <c r="I632" t="str">
        <v/>
      </c>
      <c r="J632" t="str">
        <v>0</v>
      </c>
      <c r="K632" t="str">
        <v/>
      </c>
      <c r="L632" t="str">
        <v>Enviar Email 1</v>
      </c>
      <c r="M632" t="str">
        <v/>
      </c>
      <c r="N632" t="str">
        <v>12 equipos · Pres: MIGUEL SANCHEZ LOPEZ · IG:https://instagram.com/argandafutsal</v>
      </c>
    </row>
    <row r="633">
      <c r="A633" t="str">
        <v>CLUB AGUSTINIANO (FS)</v>
      </c>
      <c r="B633" t="str">
        <v>Madrid, Madrid</v>
      </c>
      <c r="C633" t="str">
        <v>verificar</v>
      </c>
      <c r="D633" t="str">
        <v>direcciondeportiva@agustiniano.es</v>
      </c>
      <c r="E633" t="str">
        <v>915746573</v>
      </c>
      <c r="F633" t="str">
        <v>Fútbol · RFFM</v>
      </c>
      <c r="G633" t="str">
        <v>Nuevo</v>
      </c>
      <c r="H633" t="str">
        <v/>
      </c>
      <c r="I633" t="str">
        <v/>
      </c>
      <c r="J633" t="str">
        <v>0</v>
      </c>
      <c r="K633" t="str">
        <v/>
      </c>
      <c r="L633" t="str">
        <v>Enviar Email 1</v>
      </c>
      <c r="M633" t="str">
        <v/>
      </c>
      <c r="N633" t="str">
        <v>5 equipos · Pres: LORENZO PEREZ DE EULATE BERMEJO</v>
      </c>
    </row>
    <row r="634">
      <c r="A634" t="str">
        <v>DEPORTIVO CALDEIRO (FS)</v>
      </c>
      <c r="B634" t="str">
        <v>Madrid, Madrid</v>
      </c>
      <c r="C634" t="str">
        <v>https://www.cdcaldeiro.es</v>
      </c>
      <c r="D634" t="str">
        <v>futbolsala@cdcaldeiro.es</v>
      </c>
      <c r="E634" t="str">
        <v>617530309</v>
      </c>
      <c r="F634" t="str">
        <v>Fútbol · RFFM</v>
      </c>
      <c r="G634" t="str">
        <v>Nuevo</v>
      </c>
      <c r="H634" t="str">
        <v/>
      </c>
      <c r="I634" t="str">
        <v/>
      </c>
      <c r="J634" t="str">
        <v>0</v>
      </c>
      <c r="K634" t="str">
        <v/>
      </c>
      <c r="L634" t="str">
        <v>Enviar Email 1</v>
      </c>
      <c r="M634" t="str">
        <v/>
      </c>
      <c r="N634" t="str">
        <v>2 equipos · Pres: JOSE BONNIN BARRERA</v>
      </c>
    </row>
    <row r="635">
      <c r="A635" t="str">
        <v>CLUB CORAZONISTAS (FS)</v>
      </c>
      <c r="B635" t="str">
        <v>Madrid, Madrid</v>
      </c>
      <c r="C635" t="str">
        <v>verificar</v>
      </c>
      <c r="D635" t="str">
        <v>CorasFutsal@gmail.com</v>
      </c>
      <c r="E635" t="str">
        <v>648064764</v>
      </c>
      <c r="F635" t="str">
        <v>Fútbol · RFFM</v>
      </c>
      <c r="G635" t="str">
        <v>Nuevo</v>
      </c>
      <c r="H635" t="str">
        <v/>
      </c>
      <c r="I635" t="str">
        <v/>
      </c>
      <c r="J635" t="str">
        <v>0</v>
      </c>
      <c r="K635" t="str">
        <v/>
      </c>
      <c r="L635" t="str">
        <v>Enviar Email 1</v>
      </c>
      <c r="M635" t="str">
        <v/>
      </c>
      <c r="N635" t="str">
        <v>9 equipos · Pres: MARCELINO MADRID GARCIA</v>
      </c>
    </row>
    <row r="636">
      <c r="A636" t="str">
        <v>A.D. ESCURIALENSE (FS)</v>
      </c>
      <c r="B636" t="str">
        <v>San Lorenzo De El Escorial, Madrid</v>
      </c>
      <c r="C636" t="str">
        <v>verificar</v>
      </c>
      <c r="D636" t="str">
        <v>adescurialense@hotmail.com</v>
      </c>
      <c r="E636" t="str">
        <v>687236644</v>
      </c>
      <c r="F636" t="str">
        <v>Fútbol · RFFM</v>
      </c>
      <c r="G636" t="str">
        <v>Nuevo</v>
      </c>
      <c r="H636" t="str">
        <v/>
      </c>
      <c r="I636" t="str">
        <v/>
      </c>
      <c r="J636" t="str">
        <v>0</v>
      </c>
      <c r="K636" t="str">
        <v/>
      </c>
      <c r="L636" t="str">
        <v>Enviar Email 1</v>
      </c>
      <c r="M636" t="str">
        <v/>
      </c>
      <c r="N636" t="str">
        <v>5 equipos · Pres: JAVIER MUÑOZ GARIJO</v>
      </c>
    </row>
    <row r="637">
      <c r="A637" t="str">
        <v>A.D. COLEGIO JOYFE (FS)</v>
      </c>
      <c r="B637" t="str">
        <v>Madrid, Madrid</v>
      </c>
      <c r="C637" t="str">
        <v>verificar</v>
      </c>
      <c r="D637" t="str">
        <v>futbolsala.joyfe@iepgroup.es</v>
      </c>
      <c r="E637" t="str">
        <v>914082263</v>
      </c>
      <c r="F637" t="str">
        <v>Fútbol · RFFM</v>
      </c>
      <c r="G637" t="str">
        <v>Nuevo</v>
      </c>
      <c r="H637" t="str">
        <v/>
      </c>
      <c r="I637" t="str">
        <v/>
      </c>
      <c r="J637" t="str">
        <v>0</v>
      </c>
      <c r="K637" t="str">
        <v/>
      </c>
      <c r="L637" t="str">
        <v>Enviar Email 1</v>
      </c>
      <c r="M637" t="str">
        <v/>
      </c>
      <c r="N637" t="str">
        <v>6 equipos · Pres: JUAN JOSE FERNANDEZ GARCÍA</v>
      </c>
    </row>
    <row r="638">
      <c r="A638" t="str">
        <v>C.D. LA VILLA MOSTOLES (FS)</v>
      </c>
      <c r="B638" t="str">
        <v>Móstoles, Madrid</v>
      </c>
      <c r="C638" t="str">
        <v>https://www.cdlavilla.es</v>
      </c>
      <c r="D638" t="str">
        <v>c.d.lavilla@gmail.com</v>
      </c>
      <c r="E638" t="str">
        <v>667630301</v>
      </c>
      <c r="F638" t="str">
        <v>Fútbol · RFFM</v>
      </c>
      <c r="G638" t="str">
        <v>Nuevo</v>
      </c>
      <c r="H638" t="str">
        <v/>
      </c>
      <c r="I638" t="str">
        <v/>
      </c>
      <c r="J638" t="str">
        <v>0</v>
      </c>
      <c r="K638" t="str">
        <v/>
      </c>
      <c r="L638" t="str">
        <v>Enviar Email 1</v>
      </c>
      <c r="M638" t="str">
        <v/>
      </c>
      <c r="N638" t="str">
        <v>14 equipos · Pres: EMILIO DIAZ JODRÁ</v>
      </c>
    </row>
    <row r="639">
      <c r="A639" t="str">
        <v>A. D. OBISPO PERELLO (FS)</v>
      </c>
      <c r="B639" t="str">
        <v>Madrid, Madrid</v>
      </c>
      <c r="C639" t="str">
        <v>https://www.agrupaciondeportivaobispoperello.com</v>
      </c>
      <c r="D639" t="str">
        <v>agrupaciondeportiva@obispoperello.net</v>
      </c>
      <c r="E639" t="str">
        <v>630285760</v>
      </c>
      <c r="F639" t="str">
        <v>Fútbol · RFFM</v>
      </c>
      <c r="G639" t="str">
        <v>Nuevo</v>
      </c>
      <c r="H639" t="str">
        <v/>
      </c>
      <c r="I639" t="str">
        <v/>
      </c>
      <c r="J639" t="str">
        <v>0</v>
      </c>
      <c r="K639" t="str">
        <v/>
      </c>
      <c r="L639" t="str">
        <v>Enviar Email 1</v>
      </c>
      <c r="M639" t="str">
        <v/>
      </c>
      <c r="N639" t="str">
        <v>4 equipos · Pres: PEDRO JESUS HERNANDEZ DESCALZO</v>
      </c>
    </row>
    <row r="640">
      <c r="A640" t="str">
        <v>RACING LA PALOMA (FS)</v>
      </c>
      <c r="B640" t="str">
        <v>Madrid, Madrid</v>
      </c>
      <c r="C640" t="str">
        <v>https://www.cdrlapaloma.com</v>
      </c>
      <c r="D640" t="str">
        <v>cdrlapaloma@gmail.com</v>
      </c>
      <c r="E640" t="str">
        <v>646920469</v>
      </c>
      <c r="F640" t="str">
        <v>Fútbol · RFFM</v>
      </c>
      <c r="G640" t="str">
        <v>Nuevo</v>
      </c>
      <c r="H640" t="str">
        <v/>
      </c>
      <c r="I640" t="str">
        <v/>
      </c>
      <c r="J640" t="str">
        <v>0</v>
      </c>
      <c r="K640" t="str">
        <v/>
      </c>
      <c r="L640" t="str">
        <v>Enviar Email 1</v>
      </c>
      <c r="M640" t="str">
        <v/>
      </c>
      <c r="N640" t="str">
        <v>7 equipos · Pres: ANGEL MANUEL VARAS CARRASCO</v>
      </c>
    </row>
    <row r="641">
      <c r="A641" t="str">
        <v>CLUB FUTBOL SALA FEMENINO SAN FERNANDO (FS)</v>
      </c>
      <c r="B641" t="str">
        <v>San Fernando De Henares, Madrid</v>
      </c>
      <c r="C641" t="str">
        <v>http://www.cfsfemeninosanfernando.com/</v>
      </c>
      <c r="D641" t="str">
        <v>jorge87_sanfer@hotmail.com</v>
      </c>
      <c r="E641" t="str">
        <v>696495639</v>
      </c>
      <c r="F641" t="str">
        <v>Fútbol · RFFM</v>
      </c>
      <c r="G641" t="str">
        <v>Nuevo</v>
      </c>
      <c r="H641" t="str">
        <v/>
      </c>
      <c r="I641" t="str">
        <v/>
      </c>
      <c r="J641" t="str">
        <v>0</v>
      </c>
      <c r="K641" t="str">
        <v/>
      </c>
      <c r="L641" t="str">
        <v>Enviar Email 1</v>
      </c>
      <c r="M641" t="str">
        <v/>
      </c>
      <c r="N641" t="str">
        <v>11 equipos · Pres: FRANCISCO BRETON ORTIZ · FB:C.F.S. Femenino San Fernando · IG:naranjasanfer</v>
      </c>
    </row>
    <row r="642">
      <c r="A642" t="str">
        <v>C.D.E. CIUDAD VILLA DE VALLECAS F.S.</v>
      </c>
      <c r="B642" t="str">
        <v>Madrid, Madrid</v>
      </c>
      <c r="C642" t="str">
        <v>http://juventudvallekas.com/</v>
      </c>
      <c r="D642" t="str">
        <v>ciudadvilladevallecas@gmail.com</v>
      </c>
      <c r="E642" t="str">
        <v>644464971</v>
      </c>
      <c r="F642" t="str">
        <v>Fútbol · RFFM</v>
      </c>
      <c r="G642" t="str">
        <v>Nuevo</v>
      </c>
      <c r="H642" t="str">
        <v/>
      </c>
      <c r="I642" t="str">
        <v/>
      </c>
      <c r="J642" t="str">
        <v>0</v>
      </c>
      <c r="K642" t="str">
        <v/>
      </c>
      <c r="L642" t="str">
        <v>Enviar Email 1</v>
      </c>
      <c r="M642" t="str">
        <v/>
      </c>
      <c r="N642" t="str">
        <v>3 equipos · Pres: JUAN PINES LLASES</v>
      </c>
    </row>
    <row r="643">
      <c r="A643" t="str">
        <v>DON P'ALPIE ARANJUEZ F.S.</v>
      </c>
      <c r="B643" t="str">
        <v>Aranjuez, Madrid</v>
      </c>
      <c r="C643" t="str">
        <v>verificar</v>
      </c>
      <c r="D643" t="str">
        <v>ltavira@hotmail.com</v>
      </c>
      <c r="E643" t="str">
        <v>686963015</v>
      </c>
      <c r="F643" t="str">
        <v>Fútbol · RFFM</v>
      </c>
      <c r="G643" t="str">
        <v>Nuevo</v>
      </c>
      <c r="H643" t="str">
        <v/>
      </c>
      <c r="I643" t="str">
        <v/>
      </c>
      <c r="J643" t="str">
        <v>0</v>
      </c>
      <c r="K643" t="str">
        <v/>
      </c>
      <c r="L643" t="str">
        <v>Enviar Email 1</v>
      </c>
      <c r="M643" t="str">
        <v/>
      </c>
      <c r="N643" t="str">
        <v>2 equipos · Pres: LORENZO NUÑEZ TAVIRA</v>
      </c>
    </row>
    <row r="644">
      <c r="A644" t="str">
        <v>CLUB VILLA DE SALVANES (FS)</v>
      </c>
      <c r="B644" t="str">
        <v>Villarejo De Salvanés, Madrid</v>
      </c>
      <c r="C644" t="str">
        <v>verificar</v>
      </c>
      <c r="D644" t="str">
        <v>club.villasalvanes@hotmail.com</v>
      </c>
      <c r="E644" t="str">
        <v>642934860</v>
      </c>
      <c r="F644" t="str">
        <v>Fútbol · RFFM</v>
      </c>
      <c r="G644" t="str">
        <v>Nuevo</v>
      </c>
      <c r="H644" t="str">
        <v/>
      </c>
      <c r="I644" t="str">
        <v/>
      </c>
      <c r="J644" t="str">
        <v>0</v>
      </c>
      <c r="K644" t="str">
        <v/>
      </c>
      <c r="L644" t="str">
        <v>Enviar Email 1</v>
      </c>
      <c r="M644" t="str">
        <v/>
      </c>
      <c r="N644" t="str">
        <v>1 equipos · Pres: FCO. OCTAVIO GALLEGO DE LERMA GONZALEZ</v>
      </c>
    </row>
    <row r="645">
      <c r="A645" t="str">
        <v>CLUB LOS SAUCES (FS)</v>
      </c>
      <c r="B645" t="str">
        <v>Alcobendas, Madrid</v>
      </c>
      <c r="C645" t="str">
        <v>verificar</v>
      </c>
      <c r="D645" t="str">
        <v>andres.merino@colegiolossauces.com</v>
      </c>
      <c r="E645" t="str">
        <v>verificar</v>
      </c>
      <c r="F645" t="str">
        <v>Fútbol · RFFM</v>
      </c>
      <c r="G645" t="str">
        <v>Nuevo</v>
      </c>
      <c r="H645" t="str">
        <v/>
      </c>
      <c r="I645" t="str">
        <v/>
      </c>
      <c r="J645" t="str">
        <v>0</v>
      </c>
      <c r="K645" t="str">
        <v/>
      </c>
      <c r="L645" t="str">
        <v>Enviar Email 1</v>
      </c>
      <c r="M645" t="str">
        <v/>
      </c>
      <c r="N645" t="str">
        <v>1 equipos · Pres: JOSE ANTONIO ROIS QUIROGA</v>
      </c>
    </row>
    <row r="646">
      <c r="A646" t="str">
        <v>C.D.E. EL VALLE (FS)</v>
      </c>
      <c r="B646" t="str">
        <v>Madrid, Madrid</v>
      </c>
      <c r="C646" t="str">
        <v>https://www.clubdeportivoelvalle.es</v>
      </c>
      <c r="D646" t="str">
        <v>futbolsala@cdelvalle.es</v>
      </c>
      <c r="E646" t="str">
        <v>663086707</v>
      </c>
      <c r="F646" t="str">
        <v>Fútbol · RFFM</v>
      </c>
      <c r="G646" t="str">
        <v>Nuevo</v>
      </c>
      <c r="H646" t="str">
        <v/>
      </c>
      <c r="I646" t="str">
        <v/>
      </c>
      <c r="J646" t="str">
        <v>0</v>
      </c>
      <c r="K646" t="str">
        <v/>
      </c>
      <c r="L646" t="str">
        <v>Enviar Email 1</v>
      </c>
      <c r="M646" t="str">
        <v/>
      </c>
      <c r="N646" t="str">
        <v>20 equipos · Pres: JAVIER PULIDO DE GEA · FB:Club Deportivo El Valle · IG:cdeelvalle</v>
      </c>
    </row>
    <row r="647">
      <c r="A647" t="str">
        <v>VILLA DE ALGETE FUTBOL SALA (FS)</v>
      </c>
      <c r="B647" t="str">
        <v>Algete, Madrid</v>
      </c>
      <c r="C647" t="str">
        <v>https://clubvilladealgetefs.com/</v>
      </c>
      <c r="D647" t="str">
        <v>villadealgetefs@gmail.com</v>
      </c>
      <c r="E647" t="str">
        <v>630187267</v>
      </c>
      <c r="F647" t="str">
        <v>Fútbol · RFFM</v>
      </c>
      <c r="G647" t="str">
        <v>Nuevo</v>
      </c>
      <c r="H647" t="str">
        <v/>
      </c>
      <c r="I647" t="str">
        <v/>
      </c>
      <c r="J647" t="str">
        <v>0</v>
      </c>
      <c r="K647" t="str">
        <v/>
      </c>
      <c r="L647" t="str">
        <v>Enviar Email 1</v>
      </c>
      <c r="M647" t="str">
        <v/>
      </c>
      <c r="N647" t="str">
        <v>3 equipos · Pres: NOELIA ARRESE GARCIA · FB:Villa De Algete FS · IG:villadealgetefs</v>
      </c>
    </row>
    <row r="648">
      <c r="A648" t="str">
        <v>GRUPO JACER (FS)</v>
      </c>
      <c r="B648" t="str">
        <v>Madrid, Madrid</v>
      </c>
      <c r="C648" t="str">
        <v>verificar</v>
      </c>
      <c r="D648" t="str">
        <v>jperezdoblado@yahoo.es</v>
      </c>
      <c r="E648" t="str">
        <v>678529991</v>
      </c>
      <c r="F648" t="str">
        <v>Fútbol · RFFM</v>
      </c>
      <c r="G648" t="str">
        <v>Nuevo</v>
      </c>
      <c r="H648" t="str">
        <v/>
      </c>
      <c r="I648" t="str">
        <v/>
      </c>
      <c r="J648" t="str">
        <v>0</v>
      </c>
      <c r="K648" t="str">
        <v/>
      </c>
      <c r="L648" t="str">
        <v>Enviar Email 1</v>
      </c>
      <c r="M648" t="str">
        <v/>
      </c>
      <c r="N648" t="str">
        <v>1 equipos · Pres: JAVIER PEREZ DOBLADO</v>
      </c>
    </row>
    <row r="649">
      <c r="A649" t="str">
        <v>COLEGIO CARDENAL SPINOLA CHAMARTIN (FS)</v>
      </c>
      <c r="B649" t="str">
        <v>Madrid, Madrid</v>
      </c>
      <c r="C649" t="str">
        <v>https://www.cdspinolachamartin.es/</v>
      </c>
      <c r="D649" t="str">
        <v>futbolsala@cdspinolachamartin.es</v>
      </c>
      <c r="E649" t="str">
        <v>630819587</v>
      </c>
      <c r="F649" t="str">
        <v>Fútbol · RFFM</v>
      </c>
      <c r="G649" t="str">
        <v>Nuevo</v>
      </c>
      <c r="H649" t="str">
        <v/>
      </c>
      <c r="I649" t="str">
        <v/>
      </c>
      <c r="J649" t="str">
        <v>0</v>
      </c>
      <c r="K649" t="str">
        <v/>
      </c>
      <c r="L649" t="str">
        <v>Enviar Email 1</v>
      </c>
      <c r="M649" t="str">
        <v/>
      </c>
      <c r="N649" t="str">
        <v>5 equipos · Pres: ENRIQUE FERNANDEZ HERNANDO · IG:cdspinolafutsal</v>
      </c>
    </row>
    <row r="650">
      <c r="A650" t="str">
        <v>SAN AGUSTIN DEL GUADALIX FUTBOL SALA (FS)</v>
      </c>
      <c r="B650" t="str">
        <v>San Agustín Del Guadalix, Madrid</v>
      </c>
      <c r="C650" t="str">
        <v>verificar</v>
      </c>
      <c r="D650" t="str">
        <v>futbolsala@vasallo.es</v>
      </c>
      <c r="E650" t="str">
        <v>608814176</v>
      </c>
      <c r="F650" t="str">
        <v>Fútbol · RFFM</v>
      </c>
      <c r="G650" t="str">
        <v>Nuevo</v>
      </c>
      <c r="H650" t="str">
        <v/>
      </c>
      <c r="I650" t="str">
        <v/>
      </c>
      <c r="J650" t="str">
        <v>0</v>
      </c>
      <c r="K650" t="str">
        <v/>
      </c>
      <c r="L650" t="str">
        <v>Enviar Email 1</v>
      </c>
      <c r="M650" t="str">
        <v/>
      </c>
      <c r="N650" t="str">
        <v>4 equipos · Pres: PEDRO VASALLO MERCHAN · FB:@SanAgustinFS · IG:@sanagustinf.s</v>
      </c>
    </row>
    <row r="651">
      <c r="A651" t="str">
        <v>SAD COLEGIO INTERNACIONAL KOLBE (FS)</v>
      </c>
      <c r="B651" t="str">
        <v>Villanueva De La Cañada, Madrid</v>
      </c>
      <c r="C651" t="str">
        <v>https://colegiokolbe.com/</v>
      </c>
      <c r="D651" t="str">
        <v>dgutierrez@colegiokolbe.com</v>
      </c>
      <c r="E651" t="str">
        <v>918117681</v>
      </c>
      <c r="F651" t="str">
        <v>Fútbol · RFFM</v>
      </c>
      <c r="G651" t="str">
        <v>Nuevo</v>
      </c>
      <c r="H651" t="str">
        <v/>
      </c>
      <c r="I651" t="str">
        <v/>
      </c>
      <c r="J651" t="str">
        <v>0</v>
      </c>
      <c r="K651" t="str">
        <v/>
      </c>
      <c r="L651" t="str">
        <v>Enviar Email 1</v>
      </c>
      <c r="M651" t="str">
        <v/>
      </c>
      <c r="N651" t="str">
        <v>3 equipos · Pres: ANGEL MEL ORTEGA · IG:https://www.instagram.com/clubdeportivokolbe/</v>
      </c>
    </row>
    <row r="652">
      <c r="A652" t="str">
        <v>CIUDAD DE LOS MUCHACHOS (FS)</v>
      </c>
      <c r="B652" t="str">
        <v>Madrid, Madrid</v>
      </c>
      <c r="C652" t="str">
        <v>https://www.clubdeportivocmuchachos.es</v>
      </c>
      <c r="D652" t="str">
        <v>ciudaddelosmuchachos_madrid@hotmail.com</v>
      </c>
      <c r="E652" t="str">
        <v>695019090</v>
      </c>
      <c r="F652" t="str">
        <v>Fútbol · RFFM</v>
      </c>
      <c r="G652" t="str">
        <v>Nuevo</v>
      </c>
      <c r="H652" t="str">
        <v/>
      </c>
      <c r="I652" t="str">
        <v/>
      </c>
      <c r="J652" t="str">
        <v>0</v>
      </c>
      <c r="K652" t="str">
        <v/>
      </c>
      <c r="L652" t="str">
        <v>Enviar Email 1</v>
      </c>
      <c r="M652" t="str">
        <v/>
      </c>
      <c r="N652" t="str">
        <v>3 equipos · Pres: IBAN NAVIDAD SANTESTEBAN · FB:Ciudad de los Muchachos · IG:@cdciudad</v>
      </c>
    </row>
    <row r="653">
      <c r="A653" t="str">
        <v>FUTSALA VILLAVERDE (FS)</v>
      </c>
      <c r="B653" t="str">
        <v>Madrid, Madrid</v>
      </c>
      <c r="C653" t="str">
        <v>verificar</v>
      </c>
      <c r="D653" t="str">
        <v>futsalavillaverde@hotmail.com</v>
      </c>
      <c r="E653" t="str">
        <v>639182436</v>
      </c>
      <c r="F653" t="str">
        <v>Fútbol · RFFM</v>
      </c>
      <c r="G653" t="str">
        <v>Nuevo</v>
      </c>
      <c r="H653" t="str">
        <v/>
      </c>
      <c r="I653" t="str">
        <v/>
      </c>
      <c r="J653" t="str">
        <v>0</v>
      </c>
      <c r="K653" t="str">
        <v/>
      </c>
      <c r="L653" t="str">
        <v>Enviar Email 1</v>
      </c>
      <c r="M653" t="str">
        <v/>
      </c>
      <c r="N653" t="str">
        <v>6 equipos · Pres: CELSO PEREZ SANCHEZ</v>
      </c>
    </row>
    <row r="654">
      <c r="A654" t="str">
        <v>CLUB IRLANDESAS (FS)</v>
      </c>
      <c r="B654" t="str">
        <v>Alcobendas, Madrid</v>
      </c>
      <c r="C654" t="str">
        <v>https://clubirlandesas.com</v>
      </c>
      <c r="D654" t="str">
        <v>futbolsala.elsoto@feducativamaryward.org</v>
      </c>
      <c r="E654" t="str">
        <v>619272118</v>
      </c>
      <c r="F654" t="str">
        <v>Fútbol · RFFM</v>
      </c>
      <c r="G654" t="str">
        <v>Nuevo</v>
      </c>
      <c r="H654" t="str">
        <v/>
      </c>
      <c r="I654" t="str">
        <v/>
      </c>
      <c r="J654" t="str">
        <v>0</v>
      </c>
      <c r="K654" t="str">
        <v/>
      </c>
      <c r="L654" t="str">
        <v>Enviar Email 1</v>
      </c>
      <c r="M654" t="str">
        <v/>
      </c>
      <c r="N654" t="str">
        <v>3 equipos · Pres: LETICIA DE LA CHICA VILLEGAS · IG:@ClubIrlandesas</v>
      </c>
    </row>
    <row r="655">
      <c r="A655" t="str">
        <v>CDE PARAISO SAGRADOS CORAZONES (FS)</v>
      </c>
      <c r="B655" t="str">
        <v>Madrid, Madrid</v>
      </c>
      <c r="C655" t="str">
        <v>verificar</v>
      </c>
      <c r="D655" t="str">
        <v>extraescolares@colegioparaiso.es</v>
      </c>
      <c r="E655" t="str">
        <v>667451591</v>
      </c>
      <c r="F655" t="str">
        <v>Fútbol · RFFM</v>
      </c>
      <c r="G655" t="str">
        <v>Nuevo</v>
      </c>
      <c r="H655" t="str">
        <v/>
      </c>
      <c r="I655" t="str">
        <v/>
      </c>
      <c r="J655" t="str">
        <v>0</v>
      </c>
      <c r="K655" t="str">
        <v/>
      </c>
      <c r="L655" t="str">
        <v>Enviar Email 1</v>
      </c>
      <c r="M655" t="str">
        <v/>
      </c>
      <c r="N655" t="str">
        <v>7 equipos · Pres: GLORIA SUAREZ PLIEGO</v>
      </c>
    </row>
    <row r="656">
      <c r="A656" t="str">
        <v>ABANTOS FUTBOL SALA</v>
      </c>
      <c r="B656" t="str">
        <v>San Lorenzo De El Escorial, Madrid</v>
      </c>
      <c r="C656" t="str">
        <v>verificar</v>
      </c>
      <c r="D656" t="str">
        <v>abantoscde@gmail.com</v>
      </c>
      <c r="E656" t="str">
        <v>680326239</v>
      </c>
      <c r="F656" t="str">
        <v>Fútbol · RFFM</v>
      </c>
      <c r="G656" t="str">
        <v>Nuevo</v>
      </c>
      <c r="H656" t="str">
        <v/>
      </c>
      <c r="I656" t="str">
        <v/>
      </c>
      <c r="J656" t="str">
        <v>0</v>
      </c>
      <c r="K656" t="str">
        <v/>
      </c>
      <c r="L656" t="str">
        <v>Enviar Email 1</v>
      </c>
      <c r="M656" t="str">
        <v/>
      </c>
      <c r="N656" t="str">
        <v>6 equipos · Pres: CRISTINA PEÑA LOPEZ · FB:https://m.facebook.com/UD-San-Lorenzo-Abantos-FS-110644754618592/ · IG:https://www.instagram.com/</v>
      </c>
    </row>
    <row r="657">
      <c r="A657" t="str">
        <v>FUTURO DEL FUTBOL SALA (FS)</v>
      </c>
      <c r="B657" t="str">
        <v>Velilla De San Antonio, Madrid</v>
      </c>
      <c r="C657" t="str">
        <v>verificar</v>
      </c>
      <c r="D657" t="str">
        <v>clubfuturovelilla@gmail.com</v>
      </c>
      <c r="E657" t="str">
        <v>696459298</v>
      </c>
      <c r="F657" t="str">
        <v>Fútbol · RFFM</v>
      </c>
      <c r="G657" t="str">
        <v>Nuevo</v>
      </c>
      <c r="H657" t="str">
        <v/>
      </c>
      <c r="I657" t="str">
        <v/>
      </c>
      <c r="J657" t="str">
        <v>0</v>
      </c>
      <c r="K657" t="str">
        <v/>
      </c>
      <c r="L657" t="str">
        <v>Enviar Email 1</v>
      </c>
      <c r="M657" t="str">
        <v/>
      </c>
      <c r="N657" t="str">
        <v>2 equipos · Pres: ROBERTO SUBIRÓN GARCÍA · FB:Futuro Velilla Futsal · IG:@futurovelillafutsal</v>
      </c>
    </row>
    <row r="658">
      <c r="A658" t="str">
        <v>F.S. DIAGONAL (FS)</v>
      </c>
      <c r="B658" t="str">
        <v>Parla, Madrid</v>
      </c>
      <c r="C658" t="str">
        <v>https://www.fsdiagonal.es</v>
      </c>
      <c r="D658" t="str">
        <v>fsdiagonal@gmail.com</v>
      </c>
      <c r="E658" t="str">
        <v>626564649</v>
      </c>
      <c r="F658" t="str">
        <v>Fútbol · RFFM</v>
      </c>
      <c r="G658" t="str">
        <v>Nuevo</v>
      </c>
      <c r="H658" t="str">
        <v/>
      </c>
      <c r="I658" t="str">
        <v/>
      </c>
      <c r="J658" t="str">
        <v>0</v>
      </c>
      <c r="K658" t="str">
        <v/>
      </c>
      <c r="L658" t="str">
        <v>Enviar Email 1</v>
      </c>
      <c r="M658" t="str">
        <v/>
      </c>
      <c r="N658" t="str">
        <v>19 equipos · Pres: FRANCISCO LÓPEZ SANZ · FB:F.S. Diagonal · IG:@fsdiagonal</v>
      </c>
    </row>
    <row r="659">
      <c r="A659" t="str">
        <v>C.D.E. OROQUIETA-ESPINILLO (FS)</v>
      </c>
      <c r="B659" t="str">
        <v>Madrid, Madrid</v>
      </c>
      <c r="C659" t="str">
        <v>verificar</v>
      </c>
      <c r="D659" t="str">
        <v>cdoroquietaespinillo@gmail.com</v>
      </c>
      <c r="E659" t="str">
        <v>654231969</v>
      </c>
      <c r="F659" t="str">
        <v>Fútbol · RFFM</v>
      </c>
      <c r="G659" t="str">
        <v>Nuevo</v>
      </c>
      <c r="H659" t="str">
        <v/>
      </c>
      <c r="I659" t="str">
        <v/>
      </c>
      <c r="J659" t="str">
        <v>0</v>
      </c>
      <c r="K659" t="str">
        <v/>
      </c>
      <c r="L659" t="str">
        <v>Enviar Email 1</v>
      </c>
      <c r="M659" t="str">
        <v/>
      </c>
      <c r="N659" t="str">
        <v>8 equipos · Pres: OLGA LOMBARDIA RECIO</v>
      </c>
    </row>
    <row r="660">
      <c r="A660" t="str">
        <v>RIVAS ATLANTIS (FS)</v>
      </c>
      <c r="B660" t="str">
        <v>Rivas-Vaciamadrid, Madrid</v>
      </c>
      <c r="C660" t="str">
        <v>https://www.rivasatlantis.com</v>
      </c>
      <c r="D660" t="str">
        <v>federacion@rivasatlantis.com</v>
      </c>
      <c r="E660" t="str">
        <v>607671068</v>
      </c>
      <c r="F660" t="str">
        <v>Fútbol · RFFM</v>
      </c>
      <c r="G660" t="str">
        <v>Nuevo</v>
      </c>
      <c r="H660" t="str">
        <v/>
      </c>
      <c r="I660" t="str">
        <v/>
      </c>
      <c r="J660" t="str">
        <v>0</v>
      </c>
      <c r="K660" t="str">
        <v/>
      </c>
      <c r="L660" t="str">
        <v>Enviar Email 1</v>
      </c>
      <c r="M660" t="str">
        <v/>
      </c>
      <c r="N660" t="str">
        <v>8 equipos · Pres: EMILIANO RODRIGUEZ GUTIERREZ</v>
      </c>
    </row>
    <row r="661">
      <c r="A661" t="str">
        <v>ESCUELA TORREJON JUNCAL F.S.</v>
      </c>
      <c r="B661" t="str">
        <v>Torrejón De Ardoz, Madrid</v>
      </c>
      <c r="C661" t="str">
        <v>verificar</v>
      </c>
      <c r="D661" t="str">
        <v>emtjfs@gmail.com</v>
      </c>
      <c r="E661" t="str">
        <v>669603683</v>
      </c>
      <c r="F661" t="str">
        <v>Fútbol · RFFM</v>
      </c>
      <c r="G661" t="str">
        <v>Nuevo</v>
      </c>
      <c r="H661" t="str">
        <v/>
      </c>
      <c r="I661" t="str">
        <v/>
      </c>
      <c r="J661" t="str">
        <v>0</v>
      </c>
      <c r="K661" t="str">
        <v/>
      </c>
      <c r="L661" t="str">
        <v>Enviar Email 1</v>
      </c>
      <c r="M661" t="str">
        <v/>
      </c>
      <c r="N661" t="str">
        <v>8 equipos · Pres: ANTONIO LOPEZ CARMONA · FB:facebook.com/escuelatorrejonjuncalfs · IG:https://www.instagram.com/torrejonjuncal/</v>
      </c>
    </row>
    <row r="662">
      <c r="A662" t="str">
        <v>CFS ARTILLEROS MORATALAZ (FS)</v>
      </c>
      <c r="B662" t="str">
        <v>Madrid, Madrid</v>
      </c>
      <c r="C662" t="str">
        <v>verificar</v>
      </c>
      <c r="D662" t="str">
        <v>jesusfernadezcalle@gmail.com</v>
      </c>
      <c r="E662" t="str">
        <v>685245209</v>
      </c>
      <c r="F662" t="str">
        <v>Fútbol · RFFM</v>
      </c>
      <c r="G662" t="str">
        <v>Nuevo</v>
      </c>
      <c r="H662" t="str">
        <v/>
      </c>
      <c r="I662" t="str">
        <v/>
      </c>
      <c r="J662" t="str">
        <v>0</v>
      </c>
      <c r="K662" t="str">
        <v/>
      </c>
      <c r="L662" t="str">
        <v>Enviar Email 1</v>
      </c>
      <c r="M662" t="str">
        <v/>
      </c>
      <c r="N662" t="str">
        <v>4 equipos · Pres: JESUS FERNANDEZ CALLE</v>
      </c>
    </row>
    <row r="663">
      <c r="A663" t="str">
        <v>EUREKA (FS)</v>
      </c>
      <c r="B663" t="str">
        <v>Fuenlabrada, Madrid</v>
      </c>
      <c r="C663" t="str">
        <v>https://prensaeurekafsf.wixsite.com/eurekafsf</v>
      </c>
      <c r="D663" t="str">
        <v>futbol.eureka@gmail.com</v>
      </c>
      <c r="E663" t="str">
        <v>637642528</v>
      </c>
      <c r="F663" t="str">
        <v>Fútbol · RFFM</v>
      </c>
      <c r="G663" t="str">
        <v>Nuevo</v>
      </c>
      <c r="H663" t="str">
        <v/>
      </c>
      <c r="I663" t="str">
        <v/>
      </c>
      <c r="J663" t="str">
        <v>0</v>
      </c>
      <c r="K663" t="str">
        <v/>
      </c>
      <c r="L663" t="str">
        <v>Enviar Email 1</v>
      </c>
      <c r="M663" t="str">
        <v/>
      </c>
      <c r="N663" t="str">
        <v>3 equipos · Pres: FRANCISCO CACERES PEREZ · FB:https://www.facebook.com/EurekaFSF/ · IG:https://www.instagram.com/eurekafsf/</v>
      </c>
    </row>
    <row r="664">
      <c r="A664" t="str">
        <v>A.D.TANCITARO (FS)</v>
      </c>
      <c r="B664" t="str">
        <v>Madrid, Madrid</v>
      </c>
      <c r="C664" t="str">
        <v>verificar</v>
      </c>
      <c r="D664" t="str">
        <v>saezperez.alberto@gmail.com</v>
      </c>
      <c r="E664" t="str">
        <v>653681604</v>
      </c>
      <c r="F664" t="str">
        <v>Fútbol · RFFM</v>
      </c>
      <c r="G664" t="str">
        <v>Nuevo</v>
      </c>
      <c r="H664" t="str">
        <v/>
      </c>
      <c r="I664" t="str">
        <v/>
      </c>
      <c r="J664" t="str">
        <v>0</v>
      </c>
      <c r="K664" t="str">
        <v/>
      </c>
      <c r="L664" t="str">
        <v>Enviar Email 1</v>
      </c>
      <c r="M664" t="str">
        <v/>
      </c>
      <c r="N664" t="str">
        <v>1 equipos · Pres: ALVARO DE LA IGLESIA ROSADO</v>
      </c>
    </row>
    <row r="665">
      <c r="A665" t="str">
        <v>FUTBOL SALA LIMONES 5 (FS)</v>
      </c>
      <c r="B665" t="str">
        <v>Torrejón De Ardoz, Madrid</v>
      </c>
      <c r="C665" t="str">
        <v>verificar</v>
      </c>
      <c r="D665" t="str">
        <v>escuela.limones5@gmail.com</v>
      </c>
      <c r="E665" t="str">
        <v>672044121</v>
      </c>
      <c r="F665" t="str">
        <v>Fútbol · RFFM</v>
      </c>
      <c r="G665" t="str">
        <v>Nuevo</v>
      </c>
      <c r="H665" t="str">
        <v/>
      </c>
      <c r="I665" t="str">
        <v/>
      </c>
      <c r="J665" t="str">
        <v>0</v>
      </c>
      <c r="K665" t="str">
        <v/>
      </c>
      <c r="L665" t="str">
        <v>Enviar Email 1</v>
      </c>
      <c r="M665" t="str">
        <v/>
      </c>
      <c r="N665" t="str">
        <v>10 equipos · Pres: MARIO RIVILLOS PLAZA</v>
      </c>
    </row>
    <row r="666">
      <c r="A666" t="str">
        <v>CLUB ELEMENTAL FUTSAL SANSE</v>
      </c>
      <c r="B666" t="str">
        <v>San Sebastián De Los Reyes, Madrid</v>
      </c>
      <c r="C666" t="str">
        <v>https://www.futsalsanse.com</v>
      </c>
      <c r="D666" t="str">
        <v>egarcia@futsalsanse.com</v>
      </c>
      <c r="E666" t="str">
        <v>619636330</v>
      </c>
      <c r="F666" t="str">
        <v>Fútbol · RFFM</v>
      </c>
      <c r="G666" t="str">
        <v>Nuevo</v>
      </c>
      <c r="H666" t="str">
        <v/>
      </c>
      <c r="I666" t="str">
        <v/>
      </c>
      <c r="J666" t="str">
        <v>0</v>
      </c>
      <c r="K666" t="str">
        <v/>
      </c>
      <c r="L666" t="str">
        <v>Enviar Email 1</v>
      </c>
      <c r="M666" t="str">
        <v/>
      </c>
      <c r="N666" t="str">
        <v>14 equipos · Pres: JOSE GARCIA RIZOS · IG:https://www.instagram.com/futsalsanse/?hl=es</v>
      </c>
    </row>
    <row r="667">
      <c r="A667" t="str">
        <v>C.D.E. MOSTOLES FUTSAL</v>
      </c>
      <c r="B667" t="str">
        <v>Móstoles, Madrid</v>
      </c>
      <c r="C667" t="str">
        <v>https://www.mostolesfutsal.com</v>
      </c>
      <c r="D667" t="str">
        <v>athleticclubmostolesoficina@gmail.com</v>
      </c>
      <c r="E667" t="str">
        <v>615816682</v>
      </c>
      <c r="F667" t="str">
        <v>Fútbol · RFFM</v>
      </c>
      <c r="G667" t="str">
        <v>Nuevo</v>
      </c>
      <c r="H667" t="str">
        <v/>
      </c>
      <c r="I667" t="str">
        <v/>
      </c>
      <c r="J667" t="str">
        <v>0</v>
      </c>
      <c r="K667" t="str">
        <v/>
      </c>
      <c r="L667" t="str">
        <v>Enviar Email 1</v>
      </c>
      <c r="M667" t="str">
        <v/>
      </c>
      <c r="N667" t="str">
        <v>17 equipos · Pres: JESUS CABAÑAS GALLARDO</v>
      </c>
    </row>
    <row r="668">
      <c r="A668" t="str">
        <v>COLEGIO CLARET (FS)</v>
      </c>
      <c r="B668" t="str">
        <v>Madrid, Madrid</v>
      </c>
      <c r="C668" t="str">
        <v>verificar</v>
      </c>
      <c r="D668" t="str">
        <v>marina.alvarez.est@gmail.com</v>
      </c>
      <c r="E668" t="str">
        <v>687514582</v>
      </c>
      <c r="F668" t="str">
        <v>Fútbol · RFFM</v>
      </c>
      <c r="G668" t="str">
        <v>Nuevo</v>
      </c>
      <c r="H668" t="str">
        <v/>
      </c>
      <c r="I668" t="str">
        <v/>
      </c>
      <c r="J668" t="str">
        <v>0</v>
      </c>
      <c r="K668" t="str">
        <v/>
      </c>
      <c r="L668" t="str">
        <v>Enviar Email 1</v>
      </c>
      <c r="M668" t="str">
        <v/>
      </c>
      <c r="N668" t="str">
        <v>4 equipos · Pres: JOSE BASILIO ALVAREZ LLANA</v>
      </c>
    </row>
    <row r="669">
      <c r="A669" t="str">
        <v>SAN FELIPE NERI (FS)</v>
      </c>
      <c r="B669" t="str">
        <v>Madrid, Madrid</v>
      </c>
      <c r="C669" t="str">
        <v>verificar</v>
      </c>
      <c r="D669" t="str">
        <v>adcfilipenses@yahoo.es</v>
      </c>
      <c r="E669" t="str">
        <v>665872009</v>
      </c>
      <c r="F669" t="str">
        <v>Fútbol · RFFM</v>
      </c>
      <c r="G669" t="str">
        <v>Nuevo</v>
      </c>
      <c r="H669" t="str">
        <v/>
      </c>
      <c r="I669" t="str">
        <v/>
      </c>
      <c r="J669" t="str">
        <v>0</v>
      </c>
      <c r="K669" t="str">
        <v/>
      </c>
      <c r="L669" t="str">
        <v>Enviar Email 1</v>
      </c>
      <c r="M669" t="str">
        <v/>
      </c>
      <c r="N669" t="str">
        <v>1 equipos · Pres: ***MONICA MARIA PERALES CABRERA</v>
      </c>
    </row>
    <row r="670">
      <c r="A670" t="str">
        <v>CDE C.F.S. EUROSIRIS (FS)</v>
      </c>
      <c r="B670" t="str">
        <v>Madrid, Madrid</v>
      </c>
      <c r="C670" t="str">
        <v>https://www.cfseurosiris.wix.com/cfseurosiris</v>
      </c>
      <c r="D670" t="str">
        <v>cfseurosiris@hotmail.com</v>
      </c>
      <c r="E670" t="str">
        <v>661427170</v>
      </c>
      <c r="F670" t="str">
        <v>Fútbol · RFFM</v>
      </c>
      <c r="G670" t="str">
        <v>Nuevo</v>
      </c>
      <c r="H670" t="str">
        <v/>
      </c>
      <c r="I670" t="str">
        <v/>
      </c>
      <c r="J670" t="str">
        <v>0</v>
      </c>
      <c r="K670" t="str">
        <v/>
      </c>
      <c r="L670" t="str">
        <v>Enviar Email 1</v>
      </c>
      <c r="M670" t="str">
        <v/>
      </c>
      <c r="N670" t="str">
        <v>8 equipos · Pres: LUIS HERNANDO SERNA · IG:instagram.com/cfseurosiris</v>
      </c>
    </row>
    <row r="671">
      <c r="A671" t="str">
        <v>ESCO FUTSAL (FS)</v>
      </c>
      <c r="B671" t="str">
        <v>Escorial (El), Madrid</v>
      </c>
      <c r="C671" t="str">
        <v>verificar</v>
      </c>
      <c r="D671" t="str">
        <v>verificar</v>
      </c>
      <c r="E671" t="str">
        <v>661631024</v>
      </c>
      <c r="F671" t="str">
        <v>Fútbol · RFFM</v>
      </c>
      <c r="G671" t="str">
        <v>Nuevo</v>
      </c>
      <c r="H671" t="str">
        <v/>
      </c>
      <c r="I671" t="str">
        <v/>
      </c>
      <c r="J671" t="str">
        <v>0</v>
      </c>
      <c r="K671" t="str">
        <v/>
      </c>
      <c r="L671" t="str">
        <v>Enviar Email 1</v>
      </c>
      <c r="M671" t="str">
        <v/>
      </c>
      <c r="N671" t="str">
        <v>1 equipos · Pres: IVAN SANCHEZ RUANO</v>
      </c>
    </row>
    <row r="672">
      <c r="A672" t="str">
        <v>C.D.E. SPORT SALA 12 (FS)</v>
      </c>
      <c r="B672" t="str">
        <v>Parla, Madrid</v>
      </c>
      <c r="C672" t="str">
        <v>https://www.sportsala12.es</v>
      </c>
      <c r="D672" t="str">
        <v>sportsala12parla@gmail.com</v>
      </c>
      <c r="E672" t="str">
        <v>647448620</v>
      </c>
      <c r="F672" t="str">
        <v>Fútbol · RFFM</v>
      </c>
      <c r="G672" t="str">
        <v>Nuevo</v>
      </c>
      <c r="H672" t="str">
        <v/>
      </c>
      <c r="I672" t="str">
        <v/>
      </c>
      <c r="J672" t="str">
        <v>0</v>
      </c>
      <c r="K672" t="str">
        <v/>
      </c>
      <c r="L672" t="str">
        <v>Enviar Email 1</v>
      </c>
      <c r="M672" t="str">
        <v/>
      </c>
      <c r="N672" t="str">
        <v>10 equipos · Pres: ***JORGE MARTIN GOMEZ</v>
      </c>
    </row>
    <row r="673">
      <c r="A673" t="str">
        <v>ESCUELA DEPORTIVA BRUNETE (FS)</v>
      </c>
      <c r="B673" t="str">
        <v>Brunete, Madrid</v>
      </c>
      <c r="C673" t="str">
        <v>https://edbrunetefs.com</v>
      </c>
      <c r="D673" t="str">
        <v>edbrunete@gmail.com</v>
      </c>
      <c r="E673" t="str">
        <v>651830359</v>
      </c>
      <c r="F673" t="str">
        <v>Fútbol · RFFM</v>
      </c>
      <c r="G673" t="str">
        <v>Nuevo</v>
      </c>
      <c r="H673" t="str">
        <v/>
      </c>
      <c r="I673" t="str">
        <v/>
      </c>
      <c r="J673" t="str">
        <v>0</v>
      </c>
      <c r="K673" t="str">
        <v/>
      </c>
      <c r="L673" t="str">
        <v>Enviar Email 1</v>
      </c>
      <c r="M673" t="str">
        <v/>
      </c>
      <c r="N673" t="str">
        <v>6 equipos · Pres: OSCAR GARCIA ARRIBAS · IG:edbrunetefs</v>
      </c>
    </row>
    <row r="674">
      <c r="A674" t="str">
        <v>FUTSALA PINTO (FS)</v>
      </c>
      <c r="B674" t="str">
        <v>Pinto, Madrid</v>
      </c>
      <c r="C674" t="str">
        <v>verificar</v>
      </c>
      <c r="D674" t="str">
        <v>cdfutsalapinto@gmail.com</v>
      </c>
      <c r="E674" t="str">
        <v>647448620</v>
      </c>
      <c r="F674" t="str">
        <v>Fútbol · RFFM</v>
      </c>
      <c r="G674" t="str">
        <v>Nuevo</v>
      </c>
      <c r="H674" t="str">
        <v/>
      </c>
      <c r="I674" t="str">
        <v/>
      </c>
      <c r="J674" t="str">
        <v>0</v>
      </c>
      <c r="K674" t="str">
        <v/>
      </c>
      <c r="L674" t="str">
        <v>Enviar Email 1</v>
      </c>
      <c r="M674" t="str">
        <v/>
      </c>
      <c r="N674" t="str">
        <v>12 equipos · Pres: RICARDO HERVAS SUELA</v>
      </c>
    </row>
    <row r="675">
      <c r="A675" t="str">
        <v>CDE E.F.S. HUMANES (FS)</v>
      </c>
      <c r="B675" t="str">
        <v>Humanes De Madrid, Madrid</v>
      </c>
      <c r="C675" t="str">
        <v>No</v>
      </c>
      <c r="D675" t="str">
        <v>verificar</v>
      </c>
      <c r="E675" t="str">
        <v>916048268</v>
      </c>
      <c r="F675" t="str">
        <v>Fútbol · RFFM</v>
      </c>
      <c r="G675" t="str">
        <v>Nuevo</v>
      </c>
      <c r="H675" t="str">
        <v/>
      </c>
      <c r="I675" t="str">
        <v/>
      </c>
      <c r="J675" t="str">
        <v>0</v>
      </c>
      <c r="K675" t="str">
        <v/>
      </c>
      <c r="L675" t="str">
        <v>Enviar Email 1</v>
      </c>
      <c r="M675" t="str">
        <v/>
      </c>
      <c r="N675" t="str">
        <v>5 equipos · Pres: DAVID SANCHEZ CID · FB:Efs Humanes · IG:efs_humanes</v>
      </c>
    </row>
    <row r="676">
      <c r="A676" t="str">
        <v>FUTSAL PINTO (FS)</v>
      </c>
      <c r="B676" t="str">
        <v>Pinto, Madrid</v>
      </c>
      <c r="C676" t="str">
        <v>verificar</v>
      </c>
      <c r="D676" t="str">
        <v>gayardo15589@gmail.com</v>
      </c>
      <c r="E676" t="str">
        <v>618859664</v>
      </c>
      <c r="F676" t="str">
        <v>Fútbol · RFFM</v>
      </c>
      <c r="G676" t="str">
        <v>Nuevo</v>
      </c>
      <c r="H676" t="str">
        <v/>
      </c>
      <c r="I676" t="str">
        <v/>
      </c>
      <c r="J676" t="str">
        <v>0</v>
      </c>
      <c r="K676" t="str">
        <v/>
      </c>
      <c r="L676" t="str">
        <v>Enviar Email 1</v>
      </c>
      <c r="M676" t="str">
        <v/>
      </c>
      <c r="N676" t="str">
        <v>8 equipos · Pres: CRISTIAN GALLARDO SORIA</v>
      </c>
    </row>
    <row r="677">
      <c r="A677" t="str">
        <v>E.F.S. CIUDAD DE TORREJON (FS)</v>
      </c>
      <c r="B677" t="str">
        <v>Torrejón De Ardoz, Madrid</v>
      </c>
      <c r="C677" t="str">
        <v>verificar</v>
      </c>
      <c r="D677" t="str">
        <v>efsciudaddetorrejon@gmail.com</v>
      </c>
      <c r="E677" t="str">
        <v>607965975</v>
      </c>
      <c r="F677" t="str">
        <v>Fútbol · RFFM</v>
      </c>
      <c r="G677" t="str">
        <v>Nuevo</v>
      </c>
      <c r="H677" t="str">
        <v/>
      </c>
      <c r="I677" t="str">
        <v/>
      </c>
      <c r="J677" t="str">
        <v>0</v>
      </c>
      <c r="K677" t="str">
        <v/>
      </c>
      <c r="L677" t="str">
        <v>Enviar Email 1</v>
      </c>
      <c r="M677" t="str">
        <v/>
      </c>
      <c r="N677" t="str">
        <v>10 equipos · Pres: JOSE BABIANO ASENSIO</v>
      </c>
    </row>
    <row r="678">
      <c r="A678" t="str">
        <v>C.D.E. CLUB DEPORTIVO EUROPEO (FS)</v>
      </c>
      <c r="B678" t="str">
        <v>Villanueva del Pardillo, Madrid</v>
      </c>
      <c r="C678" t="str">
        <v>verificar</v>
      </c>
      <c r="D678" t="str">
        <v>cefutsalpardillo@gmail.com</v>
      </c>
      <c r="E678" t="str">
        <v>666520798</v>
      </c>
      <c r="F678" t="str">
        <v>Fútbol · RFFM</v>
      </c>
      <c r="G678" t="str">
        <v>Nuevo</v>
      </c>
      <c r="H678" t="str">
        <v/>
      </c>
      <c r="I678" t="str">
        <v/>
      </c>
      <c r="J678" t="str">
        <v>0</v>
      </c>
      <c r="K678" t="str">
        <v/>
      </c>
      <c r="L678" t="str">
        <v>Enviar Email 1</v>
      </c>
      <c r="M678" t="str">
        <v/>
      </c>
      <c r="N678" t="str">
        <v>2 equipos · Pres: JULIO GARCIA MERA</v>
      </c>
    </row>
    <row r="679">
      <c r="A679" t="str">
        <v>COLMENAREJO FUTBOL SALA (FS)</v>
      </c>
      <c r="B679" t="str">
        <v>Colmenarejo, Madrid</v>
      </c>
      <c r="C679" t="str">
        <v>verificar</v>
      </c>
      <c r="D679" t="str">
        <v>colmefsf@gmail.com</v>
      </c>
      <c r="E679" t="str">
        <v>606728258</v>
      </c>
      <c r="F679" t="str">
        <v>Fútbol · RFFM</v>
      </c>
      <c r="G679" t="str">
        <v>Nuevo</v>
      </c>
      <c r="H679" t="str">
        <v/>
      </c>
      <c r="I679" t="str">
        <v/>
      </c>
      <c r="J679" t="str">
        <v>0</v>
      </c>
      <c r="K679" t="str">
        <v/>
      </c>
      <c r="L679" t="str">
        <v>Enviar Email 1</v>
      </c>
      <c r="M679" t="str">
        <v/>
      </c>
      <c r="N679" t="str">
        <v>1 equipos · Pres: CARLOS FERNANDEZ ESTEBANEZ · IG:@colmefutsal</v>
      </c>
    </row>
    <row r="680">
      <c r="A680" t="str">
        <v>CLUB DEPORTIVO HELICON (FS)</v>
      </c>
      <c r="B680" t="str">
        <v>Valdemoro, Madrid</v>
      </c>
      <c r="C680" t="str">
        <v>verificar</v>
      </c>
      <c r="D680" t="str">
        <v>escuelafutbol@colegiohelicon.com</v>
      </c>
      <c r="E680" t="str">
        <v>653018080</v>
      </c>
      <c r="F680" t="str">
        <v>Fútbol · RFFM</v>
      </c>
      <c r="G680" t="str">
        <v>Nuevo</v>
      </c>
      <c r="H680" t="str">
        <v/>
      </c>
      <c r="I680" t="str">
        <v/>
      </c>
      <c r="J680" t="str">
        <v>0</v>
      </c>
      <c r="K680" t="str">
        <v/>
      </c>
      <c r="L680" t="str">
        <v>Enviar Email 1</v>
      </c>
      <c r="M680" t="str">
        <v/>
      </c>
      <c r="N680" t="str">
        <v>2 equipos · Pres: **EMILIO FERNANDEZ PARRA · IG:cd_helicon_futbolsala</v>
      </c>
    </row>
    <row r="681">
      <c r="A681" t="str">
        <v>E.F.S. GRIÑON (FS)</v>
      </c>
      <c r="B681" t="str">
        <v>Serranillos Del Valle, Madrid</v>
      </c>
      <c r="C681" t="str">
        <v>verificar</v>
      </c>
      <c r="D681" t="str">
        <v>Efutsala@gmail.com</v>
      </c>
      <c r="E681" t="str">
        <v>655799390</v>
      </c>
      <c r="F681" t="str">
        <v>Fútbol · RFFM</v>
      </c>
      <c r="G681" t="str">
        <v>Nuevo</v>
      </c>
      <c r="H681" t="str">
        <v/>
      </c>
      <c r="I681" t="str">
        <v/>
      </c>
      <c r="J681" t="str">
        <v>0</v>
      </c>
      <c r="K681" t="str">
        <v/>
      </c>
      <c r="L681" t="str">
        <v>Enviar Email 1</v>
      </c>
      <c r="M681" t="str">
        <v/>
      </c>
      <c r="N681" t="str">
        <v>1 equipos · Pres: CRISTINA HERNANDEZ GARCIA · IG:Fútbol sala Griñón</v>
      </c>
    </row>
    <row r="682">
      <c r="A682" t="str">
        <v>ENTIDAD DEPORTIVA ROZAS DE PUERTO REAL (FS)</v>
      </c>
      <c r="B682" t="str">
        <v>Rozas De Puerto Real, Madrid</v>
      </c>
      <c r="C682" t="str">
        <v>verificar</v>
      </c>
      <c r="D682" t="str">
        <v>edrozasdepuertoreal@gmail.com</v>
      </c>
      <c r="E682" t="str">
        <v>659131388</v>
      </c>
      <c r="F682" t="str">
        <v>Fútbol · RFFM</v>
      </c>
      <c r="G682" t="str">
        <v>Nuevo</v>
      </c>
      <c r="H682" t="str">
        <v/>
      </c>
      <c r="I682" t="str">
        <v/>
      </c>
      <c r="J682" t="str">
        <v>0</v>
      </c>
      <c r="K682" t="str">
        <v/>
      </c>
      <c r="L682" t="str">
        <v>Enviar Email 1</v>
      </c>
      <c r="M682" t="str">
        <v/>
      </c>
      <c r="N682" t="str">
        <v>1 equipos · Pres: DIEGO MONTERO LARIOS · IG:rozasdepuertorealfs</v>
      </c>
    </row>
    <row r="683">
      <c r="A683" t="str">
        <v>C.D.E. INTERSALA MOSTOLES (FS)</v>
      </c>
      <c r="B683" t="str">
        <v>Móstoles, Madrid</v>
      </c>
      <c r="C683" t="str">
        <v>verificar</v>
      </c>
      <c r="D683" t="str">
        <v>intersala_mostoles@hotmail.com</v>
      </c>
      <c r="E683" t="str">
        <v>665570760</v>
      </c>
      <c r="F683" t="str">
        <v>Fútbol · RFFM</v>
      </c>
      <c r="G683" t="str">
        <v>Nuevo</v>
      </c>
      <c r="H683" t="str">
        <v/>
      </c>
      <c r="I683" t="str">
        <v/>
      </c>
      <c r="J683" t="str">
        <v>0</v>
      </c>
      <c r="K683" t="str">
        <v/>
      </c>
      <c r="L683" t="str">
        <v>Enviar Email 1</v>
      </c>
      <c r="M683" t="str">
        <v/>
      </c>
      <c r="N683" t="str">
        <v>4 equipos · Pres: OMAR GOMEZ GONZALEZ · IG:intersala_mostoles</v>
      </c>
    </row>
    <row r="684">
      <c r="A684" t="str">
        <v>C.D.E. ESTUDIANTES TIRSO DE MOLINA ( BAJA TEMP 2025-2026)</v>
      </c>
      <c r="B684" t="str">
        <v>Madrid, Madrid</v>
      </c>
      <c r="C684" t="str">
        <v>verificar</v>
      </c>
      <c r="D684" t="str">
        <v>jcbohoyo@gmail.com</v>
      </c>
      <c r="E684" t="str">
        <v>662125189</v>
      </c>
      <c r="F684" t="str">
        <v>Fútbol · RFFM</v>
      </c>
      <c r="G684" t="str">
        <v>Nuevo</v>
      </c>
      <c r="H684" t="str">
        <v/>
      </c>
      <c r="I684" t="str">
        <v/>
      </c>
      <c r="J684" t="str">
        <v>0</v>
      </c>
      <c r="K684" t="str">
        <v/>
      </c>
      <c r="L684" t="str">
        <v>Enviar Email 1</v>
      </c>
      <c r="M684" t="str">
        <v/>
      </c>
      <c r="N684" t="str">
        <v>- equipos</v>
      </c>
    </row>
    <row r="685">
      <c r="A685" t="str">
        <v>COLEGIO ABACO (FS)</v>
      </c>
      <c r="B685" t="str">
        <v>Madrid, Madrid</v>
      </c>
      <c r="C685" t="str">
        <v>verificar</v>
      </c>
      <c r="D685" t="str">
        <v>futbol@colegio-abaco.com</v>
      </c>
      <c r="E685" t="str">
        <v>669237878</v>
      </c>
      <c r="F685" t="str">
        <v>Fútbol · RFFM</v>
      </c>
      <c r="G685" t="str">
        <v>Nuevo</v>
      </c>
      <c r="H685" t="str">
        <v/>
      </c>
      <c r="I685" t="str">
        <v/>
      </c>
      <c r="J685" t="str">
        <v>0</v>
      </c>
      <c r="K685" t="str">
        <v/>
      </c>
      <c r="L685" t="str">
        <v>Enviar Email 1</v>
      </c>
      <c r="M685" t="str">
        <v/>
      </c>
      <c r="N685" t="str">
        <v>9 equipos · Pres: JAVIER APARISI SIMON</v>
      </c>
    </row>
    <row r="686">
      <c r="A686" t="str">
        <v>C.D.E. PINAR DE SAN JOSE (FS)</v>
      </c>
      <c r="B686" t="str">
        <v>Alcorcón, Madrid</v>
      </c>
      <c r="C686" t="str">
        <v>https://www.pinaralcorcon.com</v>
      </c>
      <c r="D686" t="str">
        <v>infopinaralcorcon@gmail.com</v>
      </c>
      <c r="E686" t="str">
        <v>657909381</v>
      </c>
      <c r="F686" t="str">
        <v>Fútbol · RFFM</v>
      </c>
      <c r="G686" t="str">
        <v>Nuevo</v>
      </c>
      <c r="H686" t="str">
        <v/>
      </c>
      <c r="I686" t="str">
        <v/>
      </c>
      <c r="J686" t="str">
        <v>0</v>
      </c>
      <c r="K686" t="str">
        <v/>
      </c>
      <c r="L686" t="str">
        <v>Enviar Email 1</v>
      </c>
      <c r="M686" t="str">
        <v/>
      </c>
      <c r="N686" t="str">
        <v>10 equipos · Pres: ROBERTO CLÉRIGO GARCÍA-ANTÓN</v>
      </c>
    </row>
    <row r="687">
      <c r="A687" t="str">
        <v>AGRUPACION PADRE MANYANET (FS)</v>
      </c>
      <c r="B687" t="str">
        <v>Alcobendas, Madrid</v>
      </c>
      <c r="C687" t="str">
        <v>verificar</v>
      </c>
      <c r="D687" t="str">
        <v>adeportiva@alcobendas.manyanet.org</v>
      </c>
      <c r="E687" t="str">
        <v>696259361</v>
      </c>
      <c r="F687" t="str">
        <v>Fútbol · RFFM</v>
      </c>
      <c r="G687" t="str">
        <v>Nuevo</v>
      </c>
      <c r="H687" t="str">
        <v/>
      </c>
      <c r="I687" t="str">
        <v/>
      </c>
      <c r="J687" t="str">
        <v>0</v>
      </c>
      <c r="K687" t="str">
        <v/>
      </c>
      <c r="L687" t="str">
        <v>Enviar Email 1</v>
      </c>
      <c r="M687" t="str">
        <v/>
      </c>
      <c r="N687" t="str">
        <v>2 equipos · Pres: LUIS CORBACHO OLTRA</v>
      </c>
    </row>
    <row r="688">
      <c r="A688" t="str">
        <v>C.D.E. ALCOBENDAS FUTSAL (FS)</v>
      </c>
      <c r="B688" t="str">
        <v>Alcobendas, Madrid</v>
      </c>
      <c r="C688" t="str">
        <v>https://alcobendasfutsal.es</v>
      </c>
      <c r="D688" t="str">
        <v>academia@alcobendasfutsal.org</v>
      </c>
      <c r="E688" t="str">
        <v>645254331</v>
      </c>
      <c r="F688" t="str">
        <v>Fútbol · RFFM</v>
      </c>
      <c r="G688" t="str">
        <v>Nuevo</v>
      </c>
      <c r="H688" t="str">
        <v/>
      </c>
      <c r="I688" t="str">
        <v/>
      </c>
      <c r="J688" t="str">
        <v>0</v>
      </c>
      <c r="K688" t="str">
        <v/>
      </c>
      <c r="L688" t="str">
        <v>Enviar Email 1</v>
      </c>
      <c r="M688" t="str">
        <v/>
      </c>
      <c r="N688" t="str">
        <v>1 equipos · Pres: MANUEL VAZQUEZ PALOMO · FB:https://es-la.facebook.com/alcofutsal/</v>
      </c>
    </row>
    <row r="689">
      <c r="A689" t="str">
        <v>A.D. ESTRECHO TETUAN (FS)</v>
      </c>
      <c r="B689" t="str">
        <v>Madrid, Madrid</v>
      </c>
      <c r="C689" t="str">
        <v>verificar</v>
      </c>
      <c r="D689" t="str">
        <v>ade@salesianosestrecho.es</v>
      </c>
      <c r="E689" t="str">
        <v>657679422</v>
      </c>
      <c r="F689" t="str">
        <v>Fútbol · RFFM</v>
      </c>
      <c r="G689" t="str">
        <v>Nuevo</v>
      </c>
      <c r="H689" t="str">
        <v/>
      </c>
      <c r="I689" t="str">
        <v/>
      </c>
      <c r="J689" t="str">
        <v>0</v>
      </c>
      <c r="K689" t="str">
        <v/>
      </c>
      <c r="L689" t="str">
        <v>Enviar Email 1</v>
      </c>
      <c r="M689" t="str">
        <v/>
      </c>
      <c r="N689" t="str">
        <v>3 equipos · Pres: ***ANTONIO BLANCO ATIENZA</v>
      </c>
    </row>
    <row r="690">
      <c r="A690" t="str">
        <v>CLUB DEPORTIVO ELEMENTAL MALVAR (FS)</v>
      </c>
      <c r="B690" t="str">
        <v>Arganda Del Rey, Madrid</v>
      </c>
      <c r="C690" t="str">
        <v>verificar</v>
      </c>
      <c r="D690" t="str">
        <v>futbolsala@colegiomalvar.com</v>
      </c>
      <c r="E690" t="str">
        <v>918759463</v>
      </c>
      <c r="F690" t="str">
        <v>Fútbol · RFFM</v>
      </c>
      <c r="G690" t="str">
        <v>Nuevo</v>
      </c>
      <c r="H690" t="str">
        <v/>
      </c>
      <c r="I690" t="str">
        <v/>
      </c>
      <c r="J690" t="str">
        <v>0</v>
      </c>
      <c r="K690" t="str">
        <v/>
      </c>
      <c r="L690" t="str">
        <v>Enviar Email 1</v>
      </c>
      <c r="M690" t="str">
        <v/>
      </c>
      <c r="N690" t="str">
        <v>8 equipos · Pres: JAVIER LAZARO CARRASCO</v>
      </c>
    </row>
    <row r="691">
      <c r="A691" t="str">
        <v>C.D.E. MEJORSALA (FS)</v>
      </c>
      <c r="B691" t="str">
        <v>Mejorada Del Campo, Madrid</v>
      </c>
      <c r="C691" t="str">
        <v>verificar</v>
      </c>
      <c r="D691" t="str">
        <v>cdemejorsala@gmail.com</v>
      </c>
      <c r="E691" t="str">
        <v>606137754</v>
      </c>
      <c r="F691" t="str">
        <v>Fútbol · RFFM</v>
      </c>
      <c r="G691" t="str">
        <v>Nuevo</v>
      </c>
      <c r="H691" t="str">
        <v/>
      </c>
      <c r="I691" t="str">
        <v/>
      </c>
      <c r="J691" t="str">
        <v>0</v>
      </c>
      <c r="K691" t="str">
        <v/>
      </c>
      <c r="L691" t="str">
        <v>Enviar Email 1</v>
      </c>
      <c r="M691" t="str">
        <v/>
      </c>
      <c r="N691" t="str">
        <v>5 equipos · Pres: *MIGUEL ANGEL PLAZA SOLIS · FB:Escuela Mejorsala · IG:@mejorsala</v>
      </c>
    </row>
    <row r="692">
      <c r="A692" t="str">
        <v>C.D.E. FUENLABRADA FUTBOL SALA (FS)</v>
      </c>
      <c r="B692" t="str">
        <v>Fuenlabrada, Madrid</v>
      </c>
      <c r="C692" t="str">
        <v>https://www.fuenlabradafs.com</v>
      </c>
      <c r="D692" t="str">
        <v>fuenlabradafs@gmail.com</v>
      </c>
      <c r="E692" t="str">
        <v>655174574</v>
      </c>
      <c r="F692" t="str">
        <v>Fútbol · RFFM</v>
      </c>
      <c r="G692" t="str">
        <v>Nuevo</v>
      </c>
      <c r="H692" t="str">
        <v/>
      </c>
      <c r="I692" t="str">
        <v/>
      </c>
      <c r="J692" t="str">
        <v>0</v>
      </c>
      <c r="K692" t="str">
        <v/>
      </c>
      <c r="L692" t="str">
        <v>Enviar Email 1</v>
      </c>
      <c r="M692" t="str">
        <v/>
      </c>
      <c r="N692" t="str">
        <v>8 equipos · Pres: MIRIAM SANCHEZ PEÑA · FB:Fuenlabrada Fútbol Sala  · IG:@fuenlabradafs</v>
      </c>
    </row>
    <row r="693">
      <c r="A693" t="str">
        <v>CDE EXTINTORES LA UNION VEGA FUTSAL (FS)</v>
      </c>
      <c r="B693" t="str">
        <v>San Martín De La Vega, Madrid</v>
      </c>
      <c r="C693" t="str">
        <v>verificar</v>
      </c>
      <c r="D693" t="str">
        <v>lavegafutsalsmv@gmail.com</v>
      </c>
      <c r="E693" t="str">
        <v>649919086</v>
      </c>
      <c r="F693" t="str">
        <v>Fútbol · RFFM</v>
      </c>
      <c r="G693" t="str">
        <v>Nuevo</v>
      </c>
      <c r="H693" t="str">
        <v/>
      </c>
      <c r="I693" t="str">
        <v/>
      </c>
      <c r="J693" t="str">
        <v>0</v>
      </c>
      <c r="K693" t="str">
        <v/>
      </c>
      <c r="L693" t="str">
        <v>Enviar Email 1</v>
      </c>
      <c r="M693" t="str">
        <v/>
      </c>
      <c r="N693" t="str">
        <v>1 equipos · Pres: ALVARO ISIDRO ALPUENTE NORIEGA</v>
      </c>
    </row>
    <row r="694">
      <c r="A694" t="str">
        <v>CALASANCIO F.S.- NUESTRA SEÑORA DE LAS ESCUELAS PIAS (FS)</v>
      </c>
      <c r="B694" t="str">
        <v>Madrid, Madrid</v>
      </c>
      <c r="C694" t="str">
        <v>verificar</v>
      </c>
      <c r="D694" t="str">
        <v>jremy412@gmail.com</v>
      </c>
      <c r="E694" t="str">
        <v>697408804</v>
      </c>
      <c r="F694" t="str">
        <v>Fútbol · RFFM</v>
      </c>
      <c r="G694" t="str">
        <v>Nuevo</v>
      </c>
      <c r="H694" t="str">
        <v/>
      </c>
      <c r="I694" t="str">
        <v/>
      </c>
      <c r="J694" t="str">
        <v>0</v>
      </c>
      <c r="K694" t="str">
        <v/>
      </c>
      <c r="L694" t="str">
        <v>Enviar Email 1</v>
      </c>
      <c r="M694" t="str">
        <v/>
      </c>
      <c r="N694" t="str">
        <v>1 equipos · Pres: ALVARO REMIRO CHACÓN · IG:calasanciofutsal</v>
      </c>
    </row>
    <row r="695">
      <c r="A695" t="str">
        <v>C.D.B. MORALZARZAL FUTSAL (FS)</v>
      </c>
      <c r="B695" t="str">
        <v>Moralzarzal, Madrid</v>
      </c>
      <c r="C695" t="str">
        <v>https://www.moralzarzalfutbolsala.es</v>
      </c>
      <c r="D695" t="str">
        <v>cdmoralzarzalfutsal@gmail.com</v>
      </c>
      <c r="E695" t="str">
        <v>639183116</v>
      </c>
      <c r="F695" t="str">
        <v>Fútbol · RFFM</v>
      </c>
      <c r="G695" t="str">
        <v>Nuevo</v>
      </c>
      <c r="H695" t="str">
        <v/>
      </c>
      <c r="I695" t="str">
        <v/>
      </c>
      <c r="J695" t="str">
        <v>0</v>
      </c>
      <c r="K695" t="str">
        <v/>
      </c>
      <c r="L695" t="str">
        <v>Enviar Email 1</v>
      </c>
      <c r="M695" t="str">
        <v/>
      </c>
      <c r="N695" t="str">
        <v>5 equipos · Pres: IGNACIO CARLOS FERNÁNDEZ IBÁÑEZ · FB:https://www.facebook.com/moralzarzalfutbolsala · IG:https://www.instagram.com/moralfu</v>
      </c>
    </row>
    <row r="696">
      <c r="A696" t="str">
        <v>C.D.E. ALARO DEPORTIVA (FS)</v>
      </c>
      <c r="B696" t="str">
        <v>Madrid, Madrid</v>
      </c>
      <c r="C696" t="str">
        <v>verificar</v>
      </c>
      <c r="D696" t="str">
        <v>escueladeportivalaro@gmail.com</v>
      </c>
      <c r="E696" t="str">
        <v>687255105</v>
      </c>
      <c r="F696" t="str">
        <v>Fútbol · RFFM</v>
      </c>
      <c r="G696" t="str">
        <v>Nuevo</v>
      </c>
      <c r="H696" t="str">
        <v/>
      </c>
      <c r="I696" t="str">
        <v/>
      </c>
      <c r="J696" t="str">
        <v>0</v>
      </c>
      <c r="K696" t="str">
        <v/>
      </c>
      <c r="L696" t="str">
        <v>Enviar Email 1</v>
      </c>
      <c r="M696" t="str">
        <v/>
      </c>
      <c r="N696" t="str">
        <v>9 equipos · Pres: ***JESUS BELCHÍ TENDERO · IG:alarodeportiva</v>
      </c>
    </row>
    <row r="697">
      <c r="A697" t="str">
        <v>C.D. EDUCA &amp; PLAY (FS)</v>
      </c>
      <c r="B697" t="str">
        <v>Madrid, Madrid</v>
      </c>
      <c r="C697" t="str">
        <v>https://www.educandplay.es</v>
      </c>
      <c r="D697" t="str">
        <v>info@educandplay.es</v>
      </c>
      <c r="E697" t="str">
        <v>607995833</v>
      </c>
      <c r="F697" t="str">
        <v>Fútbol · RFFM</v>
      </c>
      <c r="G697" t="str">
        <v>Nuevo</v>
      </c>
      <c r="H697" t="str">
        <v/>
      </c>
      <c r="I697" t="str">
        <v/>
      </c>
      <c r="J697" t="str">
        <v>0</v>
      </c>
      <c r="K697" t="str">
        <v/>
      </c>
      <c r="L697" t="str">
        <v>Enviar Email 1</v>
      </c>
      <c r="M697" t="str">
        <v/>
      </c>
      <c r="N697" t="str">
        <v>10 equipos · Pres: JOSÉ CARLOS RODRÍGUEZ SOLANA</v>
      </c>
    </row>
    <row r="698">
      <c r="A698" t="str">
        <v>C.S.D. PARQUE DE LISBOA FUTSAL (FS)</v>
      </c>
      <c r="B698" t="str">
        <v>Alcorcón, Madrid</v>
      </c>
      <c r="C698" t="str">
        <v>verificar</v>
      </c>
      <c r="D698" t="str">
        <v>futsal@parquelisboa.com</v>
      </c>
      <c r="E698" t="str">
        <v>916100085</v>
      </c>
      <c r="F698" t="str">
        <v>Fútbol · RFFM</v>
      </c>
      <c r="G698" t="str">
        <v>Nuevo</v>
      </c>
      <c r="H698" t="str">
        <v/>
      </c>
      <c r="I698" t="str">
        <v/>
      </c>
      <c r="J698" t="str">
        <v>0</v>
      </c>
      <c r="K698" t="str">
        <v/>
      </c>
      <c r="L698" t="str">
        <v>Enviar Email 1</v>
      </c>
      <c r="M698" t="str">
        <v/>
      </c>
      <c r="N698" t="str">
        <v>4 equipos · Pres: LUIS MIGUEL NIETO GARCIA</v>
      </c>
    </row>
    <row r="699">
      <c r="A699" t="str">
        <v>C.D. LOPE DE VEGA (FS)</v>
      </c>
      <c r="B699" t="str">
        <v>Alcalá De Henares, Madrid</v>
      </c>
      <c r="C699" t="str">
        <v>verificar</v>
      </c>
      <c r="D699" t="str">
        <v>cdlopedevega@yahoo.es</v>
      </c>
      <c r="E699" t="str">
        <v>669309474</v>
      </c>
      <c r="F699" t="str">
        <v>Fútbol · RFFM</v>
      </c>
      <c r="G699" t="str">
        <v>Nuevo</v>
      </c>
      <c r="H699" t="str">
        <v/>
      </c>
      <c r="I699" t="str">
        <v/>
      </c>
      <c r="J699" t="str">
        <v>0</v>
      </c>
      <c r="K699" t="str">
        <v/>
      </c>
      <c r="L699" t="str">
        <v>Enviar Email 1</v>
      </c>
      <c r="M699" t="str">
        <v/>
      </c>
      <c r="N699" t="str">
        <v>7 equipos · Pres: NATALIA RAQUEL CONSUL RAMIREZ</v>
      </c>
    </row>
    <row r="700">
      <c r="A700" t="str">
        <v>C.D.E. COLEGIO ALEMAN DE MADRID (FS)</v>
      </c>
      <c r="B700" t="str">
        <v>Madrid, Madrid</v>
      </c>
      <c r="C700" t="str">
        <v>verificar</v>
      </c>
      <c r="D700" t="str">
        <v>info@dsmadrid-sv.org</v>
      </c>
      <c r="E700" t="str">
        <v>670204095</v>
      </c>
      <c r="F700" t="str">
        <v>Fútbol · RFFM</v>
      </c>
      <c r="G700" t="str">
        <v>Nuevo</v>
      </c>
      <c r="H700" t="str">
        <v/>
      </c>
      <c r="I700" t="str">
        <v/>
      </c>
      <c r="J700" t="str">
        <v>0</v>
      </c>
      <c r="K700" t="str">
        <v/>
      </c>
      <c r="L700" t="str">
        <v>Enviar Email 1</v>
      </c>
      <c r="M700" t="str">
        <v/>
      </c>
      <c r="N700" t="str">
        <v>9 equipos · Pres: **JOSÉ MIGUEL RANNINGER HERNÁNDEZ</v>
      </c>
    </row>
    <row r="701">
      <c r="A701" t="str">
        <v>FUTBOL SALA PARLA (FS)</v>
      </c>
      <c r="B701" t="str">
        <v>Parla, Madrid</v>
      </c>
      <c r="C701" t="str">
        <v>https://www.clubfutbolsalaparla.com</v>
      </c>
      <c r="D701" t="str">
        <v>manolo19631993@movistar.es</v>
      </c>
      <c r="E701" t="str">
        <v>630721529</v>
      </c>
      <c r="F701" t="str">
        <v>Fútbol · RFFM</v>
      </c>
      <c r="G701" t="str">
        <v>Nuevo</v>
      </c>
      <c r="H701" t="str">
        <v/>
      </c>
      <c r="I701" t="str">
        <v/>
      </c>
      <c r="J701" t="str">
        <v>0</v>
      </c>
      <c r="K701" t="str">
        <v/>
      </c>
      <c r="L701" t="str">
        <v>Enviar Email 1</v>
      </c>
      <c r="M701" t="str">
        <v/>
      </c>
      <c r="N701" t="str">
        <v>2 equipos · Pres: MANUEL HEREDIA RODRÍGUEZ</v>
      </c>
    </row>
    <row r="702">
      <c r="A702" t="str">
        <v>C.D.E. LAS MINAS (FS)</v>
      </c>
      <c r="B702" t="str">
        <v>Madrid, Madrid</v>
      </c>
      <c r="C702" t="str">
        <v>https://www.cdelasminas.com/</v>
      </c>
      <c r="D702" t="str">
        <v>info@cdelasminas.com</v>
      </c>
      <c r="E702" t="str">
        <v>680691928</v>
      </c>
      <c r="F702" t="str">
        <v>Fútbol · RFFM</v>
      </c>
      <c r="G702" t="str">
        <v>Nuevo</v>
      </c>
      <c r="H702" t="str">
        <v/>
      </c>
      <c r="I702" t="str">
        <v/>
      </c>
      <c r="J702" t="str">
        <v>0</v>
      </c>
      <c r="K702" t="str">
        <v/>
      </c>
      <c r="L702" t="str">
        <v>Enviar Email 1</v>
      </c>
      <c r="M702" t="str">
        <v/>
      </c>
      <c r="N702" t="str">
        <v>2 equipos · Pres: JOSE JAVIER ILLANA VICARIA · IG:@cdelasminas</v>
      </c>
    </row>
    <row r="703">
      <c r="A703" t="str">
        <v>C.D.E. ANDRES SEGOVIA (FS)</v>
      </c>
      <c r="B703" t="str">
        <v>Móstoles, Madrid</v>
      </c>
      <c r="C703" t="str">
        <v>verificar</v>
      </c>
      <c r="D703" t="str">
        <v>cdandresegovia@gmail.com</v>
      </c>
      <c r="E703" t="str">
        <v>655395743</v>
      </c>
      <c r="F703" t="str">
        <v>Fútbol · RFFM</v>
      </c>
      <c r="G703" t="str">
        <v>Nuevo</v>
      </c>
      <c r="H703" t="str">
        <v/>
      </c>
      <c r="I703" t="str">
        <v/>
      </c>
      <c r="J703" t="str">
        <v>0</v>
      </c>
      <c r="K703" t="str">
        <v/>
      </c>
      <c r="L703" t="str">
        <v>Enviar Email 1</v>
      </c>
      <c r="M703" t="str">
        <v/>
      </c>
      <c r="N703" t="str">
        <v>5 equipos · Pres: ADRIAN RUIZ PONCE · IG:cdandressegovia</v>
      </c>
    </row>
    <row r="704">
      <c r="A704" t="str">
        <v>C.D.E. DEHESA VILLALBA (FS)</v>
      </c>
      <c r="B704" t="str">
        <v>Collado Villalba, Madrid</v>
      </c>
      <c r="C704" t="str">
        <v>verificar</v>
      </c>
      <c r="D704" t="str">
        <v>directivacdedehesavillalba@gmail.com</v>
      </c>
      <c r="E704" t="str">
        <v>600945950</v>
      </c>
      <c r="F704" t="str">
        <v>Fútbol · RFFM</v>
      </c>
      <c r="G704" t="str">
        <v>Nuevo</v>
      </c>
      <c r="H704" t="str">
        <v/>
      </c>
      <c r="I704" t="str">
        <v/>
      </c>
      <c r="J704" t="str">
        <v>0</v>
      </c>
      <c r="K704" t="str">
        <v/>
      </c>
      <c r="L704" t="str">
        <v>Enviar Email 1</v>
      </c>
      <c r="M704" t="str">
        <v/>
      </c>
      <c r="N704" t="str">
        <v>2 equipos · Pres: ADRIAN HUGO LOUREIRO HERNANDEZ · FB:C D E Dehesa Villalba · IG:cdedehesavillalba</v>
      </c>
    </row>
    <row r="705">
      <c r="A705" t="str">
        <v>CLUB DE FUTBOL RAYO MANZANARES (FS)</v>
      </c>
      <c r="B705" t="str">
        <v>Manzanares El Real, Madrid</v>
      </c>
      <c r="C705" t="str">
        <v>verificar</v>
      </c>
      <c r="D705" t="str">
        <v>pepvega68@gmail.com</v>
      </c>
      <c r="E705" t="str">
        <v>620102959</v>
      </c>
      <c r="F705" t="str">
        <v>Fútbol · RFFM</v>
      </c>
      <c r="G705" t="str">
        <v>Nuevo</v>
      </c>
      <c r="H705" t="str">
        <v/>
      </c>
      <c r="I705" t="str">
        <v/>
      </c>
      <c r="J705" t="str">
        <v>0</v>
      </c>
      <c r="K705" t="str">
        <v/>
      </c>
      <c r="L705" t="str">
        <v>Enviar Email 1</v>
      </c>
      <c r="M705" t="str">
        <v/>
      </c>
      <c r="N705" t="str">
        <v>1 equipos · Pres: GUILLERMO FELIPE JIMENEZ MENDEZ · FB:C.F. Rayo Manzanares</v>
      </c>
    </row>
    <row r="706">
      <c r="A706" t="str">
        <v>C.D.E. VIRGEN DEL CERRO FUTSAL (FS)</v>
      </c>
      <c r="B706" t="str">
        <v>Madrid, Madrid</v>
      </c>
      <c r="C706" t="str">
        <v>verificar</v>
      </c>
      <c r="D706" t="str">
        <v>futsalvirgendelcerro@gmail.com</v>
      </c>
      <c r="E706" t="str">
        <v>639564607</v>
      </c>
      <c r="F706" t="str">
        <v>Fútbol · RFFM</v>
      </c>
      <c r="G706" t="str">
        <v>Nuevo</v>
      </c>
      <c r="H706" t="str">
        <v/>
      </c>
      <c r="I706" t="str">
        <v/>
      </c>
      <c r="J706" t="str">
        <v>0</v>
      </c>
      <c r="K706" t="str">
        <v/>
      </c>
      <c r="L706" t="str">
        <v>Enviar Email 1</v>
      </c>
      <c r="M706" t="str">
        <v/>
      </c>
      <c r="N706" t="str">
        <v xml:space="preserve">1 equipos · Pres: JAVIER GARCIA GUTIERREZ · IG:cde Virgen del cerro </v>
      </c>
    </row>
    <row r="707">
      <c r="A707" t="str">
        <v>C.D.E. DEPORTIVO MADRID FUTSAL (FS)</v>
      </c>
      <c r="B707" t="str">
        <v>Madrid, Madrid</v>
      </c>
      <c r="C707" t="str">
        <v>https://deportivomadridfutsal.es</v>
      </c>
      <c r="D707" t="str">
        <v>deportivomfutsal@gmail.com</v>
      </c>
      <c r="E707" t="str">
        <v>722212001</v>
      </c>
      <c r="F707" t="str">
        <v>Fútbol · RFFM</v>
      </c>
      <c r="G707" t="str">
        <v>Nuevo</v>
      </c>
      <c r="H707" t="str">
        <v/>
      </c>
      <c r="I707" t="str">
        <v/>
      </c>
      <c r="J707" t="str">
        <v>0</v>
      </c>
      <c r="K707" t="str">
        <v/>
      </c>
      <c r="L707" t="str">
        <v>Enviar Email 1</v>
      </c>
      <c r="M707" t="str">
        <v/>
      </c>
      <c r="N707" t="str">
        <v>3 equipos · Pres: SILVIA PLANELLES HUECAS · FB:https://es-la.facebook.com/depormadrid/ · IG:@deportivomadridfutsal</v>
      </c>
    </row>
    <row r="708">
      <c r="A708" t="str">
        <v>CDB SPORTING LAS AGUILAS DE MADRID (FS)</v>
      </c>
      <c r="B708" t="str">
        <v>Madrid, Madrid</v>
      </c>
      <c r="C708" t="str">
        <v>verificar</v>
      </c>
      <c r="D708" t="str">
        <v>futsalsportinglasaguilas@gmail.com</v>
      </c>
      <c r="E708" t="str">
        <v>699200753</v>
      </c>
      <c r="F708" t="str">
        <v>Fútbol · RFFM</v>
      </c>
      <c r="G708" t="str">
        <v>Nuevo</v>
      </c>
      <c r="H708" t="str">
        <v/>
      </c>
      <c r="I708" t="str">
        <v/>
      </c>
      <c r="J708" t="str">
        <v>0</v>
      </c>
      <c r="K708" t="str">
        <v/>
      </c>
      <c r="L708" t="str">
        <v>Enviar Email 1</v>
      </c>
      <c r="M708" t="str">
        <v/>
      </c>
      <c r="N708" t="str">
        <v>6 equipos · Pres: JUAN MANUEL GALLEGO RAEZ</v>
      </c>
    </row>
    <row r="709">
      <c r="A709" t="str">
        <v>C.D.E. SAN JOSE DE VALDERAS (FS)</v>
      </c>
      <c r="B709" t="str">
        <v>Alcorcón, Madrid</v>
      </c>
      <c r="C709" t="str">
        <v>https://valderasfs.es</v>
      </c>
      <c r="D709" t="str">
        <v>info.valderasfs@gmail.com</v>
      </c>
      <c r="E709" t="str">
        <v>696112071</v>
      </c>
      <c r="F709" t="str">
        <v>Fútbol · RFFM</v>
      </c>
      <c r="G709" t="str">
        <v>Nuevo</v>
      </c>
      <c r="H709" t="str">
        <v/>
      </c>
      <c r="I709" t="str">
        <v/>
      </c>
      <c r="J709" t="str">
        <v>0</v>
      </c>
      <c r="K709" t="str">
        <v/>
      </c>
      <c r="L709" t="str">
        <v>Enviar Email 1</v>
      </c>
      <c r="M709" t="str">
        <v/>
      </c>
      <c r="N709" t="str">
        <v>11 equipos · Pres: FERNANDO OCIO BARBOSA · FB:https://www.facebook.com/profile.php?id=100092493452749 · IG:https://www.instagram.com/valdera</v>
      </c>
    </row>
    <row r="710">
      <c r="A710" t="str">
        <v>C.D.E. MADRILEÑO NORTE (FS)</v>
      </c>
      <c r="B710" t="str">
        <v>Madrid, Madrid</v>
      </c>
      <c r="C710" t="str">
        <v>verificar</v>
      </c>
      <c r="D710" t="str">
        <v>madrilenorte@gmail.com</v>
      </c>
      <c r="E710" t="str">
        <v>616267880</v>
      </c>
      <c r="F710" t="str">
        <v>Fútbol · RFFM</v>
      </c>
      <c r="G710" t="str">
        <v>Nuevo</v>
      </c>
      <c r="H710" t="str">
        <v/>
      </c>
      <c r="I710" t="str">
        <v/>
      </c>
      <c r="J710" t="str">
        <v>0</v>
      </c>
      <c r="K710" t="str">
        <v/>
      </c>
      <c r="L710" t="str">
        <v>Enviar Email 1</v>
      </c>
      <c r="M710" t="str">
        <v/>
      </c>
      <c r="N710" t="str">
        <v>2 equipos · Pres: DANIEL CHICHON RODRIGUEZ · IG:@madrilenonorte_fs</v>
      </c>
    </row>
    <row r="711">
      <c r="A711" t="str">
        <v>AGRUPACION DEPORTIVA COLEGIO CALASANCIO (FS)</v>
      </c>
      <c r="B711" t="str">
        <v>Madrid, Madrid</v>
      </c>
      <c r="C711" t="str">
        <v>verificar</v>
      </c>
      <c r="D711" t="str">
        <v>a.d.calasancio@hotmail.com</v>
      </c>
      <c r="E711" t="str">
        <v>620849069</v>
      </c>
      <c r="F711" t="str">
        <v>Fútbol · RFFM</v>
      </c>
      <c r="G711" t="str">
        <v>Nuevo</v>
      </c>
      <c r="H711" t="str">
        <v/>
      </c>
      <c r="I711" t="str">
        <v/>
      </c>
      <c r="J711" t="str">
        <v>0</v>
      </c>
      <c r="K711" t="str">
        <v/>
      </c>
      <c r="L711" t="str">
        <v>Enviar Email 1</v>
      </c>
      <c r="M711" t="str">
        <v/>
      </c>
      <c r="N711" t="str">
        <v>2 equipos · Pres: RUBEN VEGA SAIZ</v>
      </c>
    </row>
    <row r="712">
      <c r="A712" t="str">
        <v>C.D.E. ATHLETIC FUTSAL</v>
      </c>
      <c r="B712" t="str">
        <v>Madrid, Madrid</v>
      </c>
      <c r="C712" t="str">
        <v>https://www.athleticfutsal.com</v>
      </c>
      <c r="D712" t="str">
        <v>athleticfutsal@hotmail.com</v>
      </c>
      <c r="E712" t="str">
        <v>698553611</v>
      </c>
      <c r="F712" t="str">
        <v>Fútbol · RFFM</v>
      </c>
      <c r="G712" t="str">
        <v>Nuevo</v>
      </c>
      <c r="H712" t="str">
        <v/>
      </c>
      <c r="I712" t="str">
        <v/>
      </c>
      <c r="J712" t="str">
        <v>0</v>
      </c>
      <c r="K712" t="str">
        <v/>
      </c>
      <c r="L712" t="str">
        <v>Enviar Email 1</v>
      </c>
      <c r="M712" t="str">
        <v/>
      </c>
      <c r="N712" t="str">
        <v>1 equipos · Pres: ALBERTO FERNANDEZ DIEZ · FB:Cde Athletic Futsal m.reina · IG:Athletic_futsal_m.reina</v>
      </c>
    </row>
    <row r="713">
      <c r="A713" t="str">
        <v>C.D.E. F.S. SANTORCAZ (FS)</v>
      </c>
      <c r="B713" t="str">
        <v>Santorcaz, Madrid</v>
      </c>
      <c r="C713" t="str">
        <v>verificar</v>
      </c>
      <c r="D713" t="str">
        <v>fssantorcaz@gmail.com</v>
      </c>
      <c r="E713" t="str">
        <v>626011536</v>
      </c>
      <c r="F713" t="str">
        <v>Fútbol · RFFM</v>
      </c>
      <c r="G713" t="str">
        <v>Nuevo</v>
      </c>
      <c r="H713" t="str">
        <v/>
      </c>
      <c r="I713" t="str">
        <v/>
      </c>
      <c r="J713" t="str">
        <v>0</v>
      </c>
      <c r="K713" t="str">
        <v/>
      </c>
      <c r="L713" t="str">
        <v>Enviar Email 1</v>
      </c>
      <c r="M713" t="str">
        <v/>
      </c>
      <c r="N713" t="str">
        <v>1 equipos · Pres: RAFAEL CALLEJA DONCEL · IG:@fs.santorcaz</v>
      </c>
    </row>
    <row r="714">
      <c r="A714" t="str">
        <v>C.D.E. MADRID EXTRAESCOLARES MAEXTRA (FS) (BAJA TEMP 2025-2026)</v>
      </c>
      <c r="B714" t="str">
        <v>Madrid, Madrid</v>
      </c>
      <c r="C714" t="str">
        <v>https://www.cdemaextra.com</v>
      </c>
      <c r="D714" t="str">
        <v>cdemaextra@gmail.com</v>
      </c>
      <c r="E714" t="str">
        <v>624641988</v>
      </c>
      <c r="F714" t="str">
        <v>Fútbol · RFFM</v>
      </c>
      <c r="G714" t="str">
        <v>Nuevo</v>
      </c>
      <c r="H714" t="str">
        <v/>
      </c>
      <c r="I714" t="str">
        <v/>
      </c>
      <c r="J714" t="str">
        <v>0</v>
      </c>
      <c r="K714" t="str">
        <v/>
      </c>
      <c r="L714" t="str">
        <v>Enviar Email 1</v>
      </c>
      <c r="M714" t="str">
        <v/>
      </c>
      <c r="N714" t="str">
        <v>1 equipos · Pres: GONZALO MATEO PULIDO · IG:@cdemaextra</v>
      </c>
    </row>
    <row r="715">
      <c r="A715" t="str">
        <v>C.D.E. SAN PEDRO APOSTOL BARAJAS (FS)</v>
      </c>
      <c r="B715" t="str">
        <v>Madrid, Madrid</v>
      </c>
      <c r="C715" t="str">
        <v>verificar</v>
      </c>
      <c r="D715" t="str">
        <v>futbolspa@sanpedroapostol.es</v>
      </c>
      <c r="E715" t="str">
        <v>913055605</v>
      </c>
      <c r="F715" t="str">
        <v>Fútbol · RFFM</v>
      </c>
      <c r="G715" t="str">
        <v>Nuevo</v>
      </c>
      <c r="H715" t="str">
        <v/>
      </c>
      <c r="I715" t="str">
        <v/>
      </c>
      <c r="J715" t="str">
        <v>0</v>
      </c>
      <c r="K715" t="str">
        <v/>
      </c>
      <c r="L715" t="str">
        <v>Enviar Email 1</v>
      </c>
      <c r="M715" t="str">
        <v/>
      </c>
      <c r="N715" t="str">
        <v>2 equipos · Pres: JORGE JAVIER FLORES JIMENA</v>
      </c>
    </row>
    <row r="716">
      <c r="A716" t="str">
        <v>C.D.E. ASTON F.S.</v>
      </c>
      <c r="B716" t="str">
        <v>Madrid, Madrid</v>
      </c>
      <c r="C716" t="str">
        <v>verificar</v>
      </c>
      <c r="D716" t="str">
        <v>clubastonfs@gmail.com</v>
      </c>
      <c r="E716" t="str">
        <v>600231534</v>
      </c>
      <c r="F716" t="str">
        <v>Fútbol · RFFM</v>
      </c>
      <c r="G716" t="str">
        <v>Nuevo</v>
      </c>
      <c r="H716" t="str">
        <v/>
      </c>
      <c r="I716" t="str">
        <v/>
      </c>
      <c r="J716" t="str">
        <v>0</v>
      </c>
      <c r="K716" t="str">
        <v/>
      </c>
      <c r="L716" t="str">
        <v>Enviar Email 1</v>
      </c>
      <c r="M716" t="str">
        <v/>
      </c>
      <c r="N716" t="str">
        <v>9 equipos · Pres: JOSE IGNACIO GARCIA HIDALGO · IG:cdastonfc</v>
      </c>
    </row>
    <row r="717">
      <c r="A717" t="str">
        <v>C.D.E. MORALEJA DE ENMEDIO (FS)</v>
      </c>
      <c r="B717" t="str">
        <v>Moraleja De Enmedio, Madrid</v>
      </c>
      <c r="C717" t="str">
        <v>verificar</v>
      </c>
      <c r="D717" t="str">
        <v>moralejafutbolsala@gmail.com</v>
      </c>
      <c r="E717" t="str">
        <v>647448620</v>
      </c>
      <c r="F717" t="str">
        <v>Fútbol · RFFM</v>
      </c>
      <c r="G717" t="str">
        <v>Nuevo</v>
      </c>
      <c r="H717" t="str">
        <v/>
      </c>
      <c r="I717" t="str">
        <v/>
      </c>
      <c r="J717" t="str">
        <v>0</v>
      </c>
      <c r="K717" t="str">
        <v/>
      </c>
      <c r="L717" t="str">
        <v>Enviar Email 1</v>
      </c>
      <c r="M717" t="str">
        <v/>
      </c>
      <c r="N717" t="str">
        <v>1 equipos · Pres: JORGE MARTIN GOMEZ</v>
      </c>
    </row>
    <row r="718">
      <c r="A718" t="str">
        <v>CLUB LORETO MADRID (FS)</v>
      </c>
      <c r="B718" t="str">
        <v>Madrid, Madrid</v>
      </c>
      <c r="C718" t="str">
        <v>verificar</v>
      </c>
      <c r="D718" t="str">
        <v>p.bermudez.lom@fesd.es</v>
      </c>
      <c r="E718" t="str">
        <v>915765008</v>
      </c>
      <c r="F718" t="str">
        <v>Fútbol · RFFM</v>
      </c>
      <c r="G718" t="str">
        <v>Nuevo</v>
      </c>
      <c r="H718" t="str">
        <v/>
      </c>
      <c r="I718" t="str">
        <v/>
      </c>
      <c r="J718" t="str">
        <v>0</v>
      </c>
      <c r="K718" t="str">
        <v/>
      </c>
      <c r="L718" t="str">
        <v>Enviar Email 1</v>
      </c>
      <c r="M718" t="str">
        <v/>
      </c>
      <c r="N718" t="str">
        <v>5 equipos · Pres: JESUS FRANCISCO MAYORDOMO DE LA FUENTE · IG:@fesdloretomadrid</v>
      </c>
    </row>
    <row r="719">
      <c r="A719" t="str">
        <v>COMPETICION LOCAL DE PARLA</v>
      </c>
      <c r="B719" t="str">
        <v>Madrid</v>
      </c>
      <c r="C719" t="str">
        <v>verificar</v>
      </c>
      <c r="D719" t="str">
        <v>verificar</v>
      </c>
      <c r="E719" t="str">
        <v>verificar</v>
      </c>
      <c r="F719" t="str">
        <v>Fútbol · RFFM</v>
      </c>
      <c r="G719" t="str">
        <v>Nuevo</v>
      </c>
      <c r="H719" t="str">
        <v/>
      </c>
      <c r="I719" t="str">
        <v/>
      </c>
      <c r="J719" t="str">
        <v>0</v>
      </c>
      <c r="K719" t="str">
        <v/>
      </c>
      <c r="L719" t="str">
        <v>Enviar Email 1</v>
      </c>
      <c r="M719" t="str">
        <v/>
      </c>
      <c r="N719" t="str">
        <v>- equipos</v>
      </c>
    </row>
    <row r="720">
      <c r="A720" t="str">
        <v>CDE FUSION FUTBOL SALA SAN FERNANDO</v>
      </c>
      <c r="B720" t="str">
        <v>San Fernando De Henares, Madrid</v>
      </c>
      <c r="C720" t="str">
        <v>verificar</v>
      </c>
      <c r="D720" t="str">
        <v>futbolsalasanfernando@gmail.com</v>
      </c>
      <c r="E720" t="str">
        <v>679081978</v>
      </c>
      <c r="F720" t="str">
        <v>Fútbol · RFFM</v>
      </c>
      <c r="G720" t="str">
        <v>Nuevo</v>
      </c>
      <c r="H720" t="str">
        <v/>
      </c>
      <c r="I720" t="str">
        <v/>
      </c>
      <c r="J720" t="str">
        <v>0</v>
      </c>
      <c r="K720" t="str">
        <v/>
      </c>
      <c r="L720" t="str">
        <v>Enviar Email 1</v>
      </c>
      <c r="M720" t="str">
        <v/>
      </c>
      <c r="N720" t="str">
        <v>9 equipos · Pres: FRANCISCO JAVIER ACEDO TISCAR</v>
      </c>
    </row>
    <row r="721">
      <c r="A721" t="str">
        <v>CIUDAD DE MOSTOLES (FS)</v>
      </c>
      <c r="B721" t="str">
        <v>Móstoles, Madrid</v>
      </c>
      <c r="C721" t="str">
        <v>verificar</v>
      </c>
      <c r="D721" t="str">
        <v>antoniopeecheva@hotmail.com</v>
      </c>
      <c r="E721" t="str">
        <v>635511502</v>
      </c>
      <c r="F721" t="str">
        <v>Fútbol · RFFM</v>
      </c>
      <c r="G721" t="str">
        <v>Nuevo</v>
      </c>
      <c r="H721" t="str">
        <v/>
      </c>
      <c r="I721" t="str">
        <v/>
      </c>
      <c r="J721" t="str">
        <v>0</v>
      </c>
      <c r="K721" t="str">
        <v/>
      </c>
      <c r="L721" t="str">
        <v>Enviar Email 1</v>
      </c>
      <c r="M721" t="str">
        <v/>
      </c>
      <c r="N721" t="str">
        <v>15 equipos · Pres: ANTONIO PEÑA ECHEVARRIA</v>
      </c>
    </row>
    <row r="722">
      <c r="A722" t="str">
        <v>A.D. COLLADO VILLALBA F.S.</v>
      </c>
      <c r="B722" t="str">
        <v>Collado Villalba, Madrid</v>
      </c>
      <c r="C722" t="str">
        <v>verificar</v>
      </c>
      <c r="D722" t="str">
        <v>adcolladovillalba@hotmail.com</v>
      </c>
      <c r="E722" t="str">
        <v>606734338</v>
      </c>
      <c r="F722" t="str">
        <v>Fútbol · RFFM</v>
      </c>
      <c r="G722" t="str">
        <v>Nuevo</v>
      </c>
      <c r="H722" t="str">
        <v/>
      </c>
      <c r="I722" t="str">
        <v/>
      </c>
      <c r="J722" t="str">
        <v>0</v>
      </c>
      <c r="K722" t="str">
        <v/>
      </c>
      <c r="L722" t="str">
        <v>Enviar Email 1</v>
      </c>
      <c r="M722" t="str">
        <v/>
      </c>
      <c r="N722" t="str">
        <v>5 equipos · Pres: MERCEDES JIMENEZ ARIAS · FB:ADCVillalbaFS</v>
      </c>
    </row>
    <row r="723">
      <c r="A723" t="str">
        <v>INTER F.S.</v>
      </c>
      <c r="B723" t="str">
        <v>Alcalá De Henares, Madrid</v>
      </c>
      <c r="C723" t="str">
        <v>verificar</v>
      </c>
      <c r="D723" t="str">
        <v>cesarmunoz@intermovistar.com</v>
      </c>
      <c r="E723" t="str">
        <v>609262715</v>
      </c>
      <c r="F723" t="str">
        <v>Fútbol · RFFM</v>
      </c>
      <c r="G723" t="str">
        <v>Nuevo</v>
      </c>
      <c r="H723" t="str">
        <v/>
      </c>
      <c r="I723" t="str">
        <v/>
      </c>
      <c r="J723" t="str">
        <v>0</v>
      </c>
      <c r="K723" t="str">
        <v/>
      </c>
      <c r="L723" t="str">
        <v>Enviar Email 1</v>
      </c>
      <c r="M723" t="str">
        <v/>
      </c>
      <c r="N723" t="str">
        <v>19 equipos · Pres: JOSE MANUEL SAORÍN SÁNCHEZ</v>
      </c>
    </row>
    <row r="724">
      <c r="A724" t="str">
        <v>CLUB DEPORCOSLADA F.S.</v>
      </c>
      <c r="B724" t="str">
        <v>Coslada, Madrid</v>
      </c>
      <c r="C724" t="str">
        <v>verificar</v>
      </c>
      <c r="D724" t="str">
        <v>deporcosladafs@gmail.com</v>
      </c>
      <c r="E724" t="str">
        <v>619345439</v>
      </c>
      <c r="F724" t="str">
        <v>Fútbol · RFFM</v>
      </c>
      <c r="G724" t="str">
        <v>Nuevo</v>
      </c>
      <c r="H724" t="str">
        <v/>
      </c>
      <c r="I724" t="str">
        <v/>
      </c>
      <c r="J724" t="str">
        <v>0</v>
      </c>
      <c r="K724" t="str">
        <v/>
      </c>
      <c r="L724" t="str">
        <v>Enviar Email 1</v>
      </c>
      <c r="M724" t="str">
        <v/>
      </c>
      <c r="N724" t="str">
        <v>10 equipos · Pres: LEONOR LEON QUESADA</v>
      </c>
    </row>
    <row r="725">
      <c r="A725" t="str">
        <v>F.S. CHAMBERI</v>
      </c>
      <c r="B725" t="str">
        <v>Madrid, Madrid</v>
      </c>
      <c r="C725" t="str">
        <v>verificar</v>
      </c>
      <c r="D725" t="str">
        <v>fschamberi2022@gmail.com</v>
      </c>
      <c r="E725" t="str">
        <v>610362073</v>
      </c>
      <c r="F725" t="str">
        <v>Fútbol · RFFM</v>
      </c>
      <c r="G725" t="str">
        <v>Nuevo</v>
      </c>
      <c r="H725" t="str">
        <v/>
      </c>
      <c r="I725" t="str">
        <v/>
      </c>
      <c r="J725" t="str">
        <v>0</v>
      </c>
      <c r="K725" t="str">
        <v/>
      </c>
      <c r="L725" t="str">
        <v>Enviar Email 1</v>
      </c>
      <c r="M725" t="str">
        <v/>
      </c>
      <c r="N725" t="str">
        <v>2 equipos · Pres: MARCOS CLODOALDO MENDEZ GONZALEZ</v>
      </c>
    </row>
    <row r="726">
      <c r="A726" t="str">
        <v>TORREJON SALA FIVE PLAY (FS)</v>
      </c>
      <c r="B726" t="str">
        <v>Torrejón De Ardoz, Madrid</v>
      </c>
      <c r="C726" t="str">
        <v>https://www.torrejonsala.com</v>
      </c>
      <c r="D726" t="str">
        <v>kikepanadero@hotmail.com</v>
      </c>
      <c r="E726" t="str">
        <v>696867193</v>
      </c>
      <c r="F726" t="str">
        <v>Fútbol · RFFM</v>
      </c>
      <c r="G726" t="str">
        <v>Nuevo</v>
      </c>
      <c r="H726" t="str">
        <v/>
      </c>
      <c r="I726" t="str">
        <v/>
      </c>
      <c r="J726" t="str">
        <v>0</v>
      </c>
      <c r="K726" t="str">
        <v/>
      </c>
      <c r="L726" t="str">
        <v>Enviar Email 1</v>
      </c>
      <c r="M726" t="str">
        <v/>
      </c>
      <c r="N726" t="str">
        <v>13 equipos · Pres: ENRIQUE PANADERO JIMENEZ · IG:torrejon_sala</v>
      </c>
    </row>
    <row r="727">
      <c r="A727" t="str">
        <v xml:space="preserve">C.D. FUTSI ATLETICO NAVALCARNERO (FS) </v>
      </c>
      <c r="B727" t="str">
        <v>Navalcarnero, Madrid</v>
      </c>
      <c r="C727" t="str">
        <v>verificar</v>
      </c>
      <c r="D727" t="str">
        <v>jmibiurrun@hotmail.com</v>
      </c>
      <c r="E727" t="str">
        <v>689432975</v>
      </c>
      <c r="F727" t="str">
        <v>Fútbol · RFFM</v>
      </c>
      <c r="G727" t="str">
        <v>Nuevo</v>
      </c>
      <c r="H727" t="str">
        <v/>
      </c>
      <c r="I727" t="str">
        <v/>
      </c>
      <c r="J727" t="str">
        <v>0</v>
      </c>
      <c r="K727" t="str">
        <v/>
      </c>
      <c r="L727" t="str">
        <v>Enviar Email 1</v>
      </c>
      <c r="M727" t="str">
        <v/>
      </c>
      <c r="N727" t="str">
        <v>14 equipos · Pres: JOSE MANUEL IGEA BIURRUN</v>
      </c>
    </row>
    <row r="728">
      <c r="A728" t="str">
        <v>UNION TRES CANTOS FUTBOL SALA</v>
      </c>
      <c r="B728" t="str">
        <v>Tres Cantos, Madrid</v>
      </c>
      <c r="C728" t="str">
        <v>https://www.uniontrescantos.es</v>
      </c>
      <c r="D728" t="str">
        <v>uniontrescantos@gmail.com</v>
      </c>
      <c r="E728" t="str">
        <v>606242965</v>
      </c>
      <c r="F728" t="str">
        <v>Fútbol · RFFM</v>
      </c>
      <c r="G728" t="str">
        <v>Nuevo</v>
      </c>
      <c r="H728" t="str">
        <v/>
      </c>
      <c r="I728" t="str">
        <v/>
      </c>
      <c r="J728" t="str">
        <v>0</v>
      </c>
      <c r="K728" t="str">
        <v/>
      </c>
      <c r="L728" t="str">
        <v>Enviar Email 1</v>
      </c>
      <c r="M728" t="str">
        <v/>
      </c>
      <c r="N728" t="str">
        <v>7 equipos · Pres: JOSÉ CARLOS ARROJO DOMINGUEZ</v>
      </c>
    </row>
    <row r="729">
      <c r="A729" t="str">
        <v>UNION DEPORTIVA LAS ROZAS BOADILLA (FS)</v>
      </c>
      <c r="B729" t="str">
        <v>Las Rozas de Madrid, Madrid</v>
      </c>
      <c r="C729" t="str">
        <v>verificar</v>
      </c>
      <c r="D729" t="str">
        <v>juanjo.martinez.alonso@gmail.com</v>
      </c>
      <c r="E729" t="str">
        <v>629108898</v>
      </c>
      <c r="F729" t="str">
        <v>Fútbol · RFFM</v>
      </c>
      <c r="G729" t="str">
        <v>Nuevo</v>
      </c>
      <c r="H729" t="str">
        <v/>
      </c>
      <c r="I729" t="str">
        <v/>
      </c>
      <c r="J729" t="str">
        <v>0</v>
      </c>
      <c r="K729" t="str">
        <v/>
      </c>
      <c r="L729" t="str">
        <v>Enviar Email 1</v>
      </c>
      <c r="M729" t="str">
        <v/>
      </c>
      <c r="N729" t="str">
        <v>2 equipos · Pres: MANUEL BARROSO BARROSO</v>
      </c>
    </row>
    <row r="730">
      <c r="A730" t="str">
        <v>FUTBOL SALA FEMENINO MOSTOLES (F.S.F. MOSTOLES)</v>
      </c>
      <c r="B730" t="str">
        <v>Móstoles, Madrid</v>
      </c>
      <c r="C730" t="str">
        <v>https://fsfmostoles.webnode.es</v>
      </c>
      <c r="D730" t="str">
        <v>secretaria@fsfmostoles.es</v>
      </c>
      <c r="E730" t="str">
        <v>647463706</v>
      </c>
      <c r="F730" t="str">
        <v>Fútbol · RFFM</v>
      </c>
      <c r="G730" t="str">
        <v>Nuevo</v>
      </c>
      <c r="H730" t="str">
        <v/>
      </c>
      <c r="I730" t="str">
        <v/>
      </c>
      <c r="J730" t="str">
        <v>0</v>
      </c>
      <c r="K730" t="str">
        <v/>
      </c>
      <c r="L730" t="str">
        <v>Enviar Email 1</v>
      </c>
      <c r="M730" t="str">
        <v/>
      </c>
      <c r="N730" t="str">
        <v>6 equipos · Pres: JOSE JUAN CIRUELOS OLIVER</v>
      </c>
    </row>
    <row r="731">
      <c r="A731" t="str">
        <v>E.F.S. COLMENAR VIEJO (FS)</v>
      </c>
      <c r="B731" t="str">
        <v>Colmenar Viejo, Madrid</v>
      </c>
      <c r="C731" t="str">
        <v>verificar</v>
      </c>
      <c r="D731" t="str">
        <v>jfgehijos@hotmail.com</v>
      </c>
      <c r="E731" t="str">
        <v>677547209</v>
      </c>
      <c r="F731" t="str">
        <v>Fútbol · RFFM</v>
      </c>
      <c r="G731" t="str">
        <v>Nuevo</v>
      </c>
      <c r="H731" t="str">
        <v/>
      </c>
      <c r="I731" t="str">
        <v/>
      </c>
      <c r="J731" t="str">
        <v>0</v>
      </c>
      <c r="K731" t="str">
        <v/>
      </c>
      <c r="L731" t="str">
        <v>Enviar Email 1</v>
      </c>
      <c r="M731" t="str">
        <v/>
      </c>
      <c r="N731" t="str">
        <v>6 equipos · Pres: DIEGO JOSE SANCHEZ SANCHEZ</v>
      </c>
    </row>
    <row r="732">
      <c r="A732" t="str">
        <v>CLUB PILARISTAS (FS)</v>
      </c>
      <c r="B732" t="str">
        <v>Madrid, Madrid</v>
      </c>
      <c r="C732" t="str">
        <v>https://www.clubpilaristas.com</v>
      </c>
      <c r="D732" t="str">
        <v>clubpilaristasfutbolsala@nspilar.com</v>
      </c>
      <c r="E732" t="str">
        <v>915750404</v>
      </c>
      <c r="F732" t="str">
        <v>Fútbol · RFFM</v>
      </c>
      <c r="G732" t="str">
        <v>Nuevo</v>
      </c>
      <c r="H732" t="str">
        <v/>
      </c>
      <c r="I732" t="str">
        <v/>
      </c>
      <c r="J732" t="str">
        <v>0</v>
      </c>
      <c r="K732" t="str">
        <v/>
      </c>
      <c r="L732" t="str">
        <v>Enviar Email 1</v>
      </c>
      <c r="M732" t="str">
        <v/>
      </c>
      <c r="N732" t="str">
        <v>14 equipos · Pres: VALERIANO SARTO FRAJ · IG:@clubpilaristas</v>
      </c>
    </row>
    <row r="733">
      <c r="A733" t="str">
        <v>U.D. LORETO MONCLOA (FS)</v>
      </c>
      <c r="B733" t="str">
        <v>Madrid, Madrid</v>
      </c>
      <c r="C733" t="str">
        <v>verificar</v>
      </c>
      <c r="D733" t="str">
        <v>bullpaddy@gmail.com</v>
      </c>
      <c r="E733" t="str">
        <v>636491775</v>
      </c>
      <c r="F733" t="str">
        <v>Fútbol · RFFM</v>
      </c>
      <c r="G733" t="str">
        <v>Nuevo</v>
      </c>
      <c r="H733" t="str">
        <v/>
      </c>
      <c r="I733" t="str">
        <v/>
      </c>
      <c r="J733" t="str">
        <v>0</v>
      </c>
      <c r="K733" t="str">
        <v/>
      </c>
      <c r="L733" t="str">
        <v>Enviar Email 1</v>
      </c>
      <c r="M733" t="str">
        <v/>
      </c>
      <c r="N733" t="str">
        <v>1 equipos · Pres: FRANCISCO DE PAULA GORDILLO ISAZA</v>
      </c>
    </row>
    <row r="734">
      <c r="A734" t="str">
        <v>CDE SPORTING MORATA F.S.</v>
      </c>
      <c r="B734" t="str">
        <v>Morata De Tajuña, Madrid</v>
      </c>
      <c r="C734" t="str">
        <v>verificar</v>
      </c>
      <c r="D734" t="str">
        <v>c.vera@generalimediadores.es</v>
      </c>
      <c r="E734" t="str">
        <v>918731275</v>
      </c>
      <c r="F734" t="str">
        <v>Fútbol · RFFM</v>
      </c>
      <c r="G734" t="str">
        <v>Nuevo</v>
      </c>
      <c r="H734" t="str">
        <v/>
      </c>
      <c r="I734" t="str">
        <v/>
      </c>
      <c r="J734" t="str">
        <v>0</v>
      </c>
      <c r="K734" t="str">
        <v/>
      </c>
      <c r="L734" t="str">
        <v>Enviar Email 1</v>
      </c>
      <c r="M734" t="str">
        <v/>
      </c>
      <c r="N734" t="str">
        <v>3 equipos · Pres: CESAR VERA DOMINGO</v>
      </c>
    </row>
    <row r="735">
      <c r="A735" t="str">
        <v>CDE FUTBOL SALA CIUDAD ALCORCON</v>
      </c>
      <c r="B735" t="str">
        <v>Alcorcón, Madrid</v>
      </c>
      <c r="C735" t="str">
        <v>verificar</v>
      </c>
      <c r="D735" t="str">
        <v>fusafeal@hotmail.com</v>
      </c>
      <c r="E735" t="str">
        <v>600290955</v>
      </c>
      <c r="F735" t="str">
        <v>Fútbol · RFFM</v>
      </c>
      <c r="G735" t="str">
        <v>Nuevo</v>
      </c>
      <c r="H735" t="str">
        <v/>
      </c>
      <c r="I735" t="str">
        <v/>
      </c>
      <c r="J735" t="str">
        <v>0</v>
      </c>
      <c r="K735" t="str">
        <v/>
      </c>
      <c r="L735" t="str">
        <v>Enviar Email 1</v>
      </c>
      <c r="M735" t="str">
        <v/>
      </c>
      <c r="N735" t="str">
        <v>26 equipos · Pres: ALFONSO CATALINA SEGURA</v>
      </c>
    </row>
    <row r="736">
      <c r="A736" t="str">
        <v>LEGANES F.S. MASDEPORTE (FS)</v>
      </c>
      <c r="B736" t="str">
        <v>Leganés, Madrid</v>
      </c>
      <c r="C736" t="str">
        <v>verificar</v>
      </c>
      <c r="D736" t="str">
        <v>leganesfutbolsalaescuela@gmail.com</v>
      </c>
      <c r="E736" t="str">
        <v>617024107</v>
      </c>
      <c r="F736" t="str">
        <v>Fútbol · RFFM</v>
      </c>
      <c r="G736" t="str">
        <v>Nuevo</v>
      </c>
      <c r="H736" t="str">
        <v/>
      </c>
      <c r="I736" t="str">
        <v/>
      </c>
      <c r="J736" t="str">
        <v>0</v>
      </c>
      <c r="K736" t="str">
        <v/>
      </c>
      <c r="L736" t="str">
        <v>Enviar Email 1</v>
      </c>
      <c r="M736" t="str">
        <v/>
      </c>
      <c r="N736" t="str">
        <v>23 equipos · Pres: DAVID VAZQUEZ GONZALEZ</v>
      </c>
    </row>
    <row r="737">
      <c r="A737" t="str">
        <v>CDE MAJADAHONDA (FS)</v>
      </c>
      <c r="B737" t="str">
        <v>Majadahonda, Madrid</v>
      </c>
      <c r="C737" t="str">
        <v>verificar</v>
      </c>
      <c r="D737" t="str">
        <v>fsmajadahonda@gmail.com</v>
      </c>
      <c r="E737" t="str">
        <v>673828135</v>
      </c>
      <c r="F737" t="str">
        <v>Fútbol · RFFM</v>
      </c>
      <c r="G737" t="str">
        <v>Nuevo</v>
      </c>
      <c r="H737" t="str">
        <v/>
      </c>
      <c r="I737" t="str">
        <v/>
      </c>
      <c r="J737" t="str">
        <v>0</v>
      </c>
      <c r="K737" t="str">
        <v/>
      </c>
      <c r="L737" t="str">
        <v>Enviar Email 1</v>
      </c>
      <c r="M737" t="str">
        <v/>
      </c>
      <c r="N737" t="str">
        <v>2 equipos · Pres: ANTONIO RODRIGUEZ LOPEZ</v>
      </c>
    </row>
    <row r="738">
      <c r="A738" t="str">
        <v>C.D.E. CASCO ANTIGUO CARABANCHEL BAJO (FS)</v>
      </c>
      <c r="B738" t="str">
        <v>Madrid, Madrid</v>
      </c>
      <c r="C738" t="str">
        <v>verificar</v>
      </c>
      <c r="D738" t="str">
        <v>jorgecascoantiguo@hotmail.com</v>
      </c>
      <c r="E738" t="str">
        <v>659939125</v>
      </c>
      <c r="F738" t="str">
        <v>Fútbol · RFFM</v>
      </c>
      <c r="G738" t="str">
        <v>Nuevo</v>
      </c>
      <c r="H738" t="str">
        <v/>
      </c>
      <c r="I738" t="str">
        <v/>
      </c>
      <c r="J738" t="str">
        <v>0</v>
      </c>
      <c r="K738" t="str">
        <v/>
      </c>
      <c r="L738" t="str">
        <v>Enviar Email 1</v>
      </c>
      <c r="M738" t="str">
        <v/>
      </c>
      <c r="N738" t="str">
        <v>7 equipos · Pres: JORGE BARAZON CLEMENTE · FB:/cascoantiguofs · IG:@cdecascoantiguo</v>
      </c>
    </row>
    <row r="739">
      <c r="A739" t="str">
        <v>CD RIVAS FUTSAL</v>
      </c>
      <c r="B739" t="str">
        <v>Rivas-Vaciamadrid, Madrid</v>
      </c>
      <c r="C739" t="str">
        <v>https://www.rivasfutsal.com</v>
      </c>
      <c r="D739" t="str">
        <v>coordinacionbase@rivasfutsal.com</v>
      </c>
      <c r="E739" t="str">
        <v>649906341</v>
      </c>
      <c r="F739" t="str">
        <v>Fútbol · RFFM</v>
      </c>
      <c r="G739" t="str">
        <v>Nuevo</v>
      </c>
      <c r="H739" t="str">
        <v/>
      </c>
      <c r="I739" t="str">
        <v/>
      </c>
      <c r="J739" t="str">
        <v>0</v>
      </c>
      <c r="K739" t="str">
        <v/>
      </c>
      <c r="L739" t="str">
        <v>Enviar Email 1</v>
      </c>
      <c r="M739" t="str">
        <v/>
      </c>
      <c r="N739" t="str">
        <v>18 equipos · Pres: LUIS GREGORIO MORENO PERUCHA</v>
      </c>
    </row>
    <row r="740">
      <c r="A740" t="str">
        <v>CLUB C.F.S. EL ALAMO (FS)</v>
      </c>
      <c r="B740" t="str">
        <v>Álamo (El), Madrid</v>
      </c>
      <c r="C740" t="str">
        <v>verificar</v>
      </c>
      <c r="D740" t="str">
        <v>imprentapalma7@gmail.com</v>
      </c>
      <c r="E740" t="str">
        <v>639485546</v>
      </c>
      <c r="F740" t="str">
        <v>Fútbol · RFFM</v>
      </c>
      <c r="G740" t="str">
        <v>Nuevo</v>
      </c>
      <c r="H740" t="str">
        <v/>
      </c>
      <c r="I740" t="str">
        <v/>
      </c>
      <c r="J740" t="str">
        <v>0</v>
      </c>
      <c r="K740" t="str">
        <v/>
      </c>
      <c r="L740" t="str">
        <v>Enviar Email 1</v>
      </c>
      <c r="M740" t="str">
        <v/>
      </c>
      <c r="N740" t="str">
        <v>7 equipos · Pres: OSCAR LOPEZ PALMA · FB:@fselalamo · IG:@fselalamo</v>
      </c>
    </row>
  </sheetData>
  <autoFilter ref="A1:N740"/>
  <ignoredErrors>
    <ignoredError numberStoredAsText="1" sqref="A1:N74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sheetData>
    <row r="1">
      <c r="A1" t="str">
        <v>EMBUDO DE VENTAS</v>
      </c>
      <c r="B1" t="str">
        <v/>
      </c>
    </row>
    <row r="2">
      <c r="A2" t="str">
        <v/>
      </c>
      <c r="B2" t="str">
        <v/>
      </c>
    </row>
    <row r="3">
      <c r="A3" t="str">
        <v>Nuevo</v>
      </c>
      <c r="B3">
        <f>COUNTIF(Seguimiento!G:G,"Nuevo")</f>
        <v>0</v>
      </c>
    </row>
    <row r="4">
      <c r="A4" t="str">
        <v>Email 1</v>
      </c>
      <c r="B4">
        <f>COUNTIF(Seguimiento!G:G,"Email 1")</f>
        <v>0</v>
      </c>
    </row>
    <row r="5">
      <c r="A5" t="str">
        <v>Email 2</v>
      </c>
      <c r="B5">
        <f>COUNTIF(Seguimiento!G:G,"Email 2")</f>
        <v>0</v>
      </c>
    </row>
    <row r="6">
      <c r="A6" t="str">
        <v>Email 3</v>
      </c>
      <c r="B6">
        <f>COUNTIF(Seguimiento!G:G,"Email 3")</f>
        <v>0</v>
      </c>
    </row>
    <row r="7">
      <c r="A7" t="str">
        <v>Respondió</v>
      </c>
      <c r="B7">
        <f>COUNTIF(Seguimiento!G:G,"Respondió")</f>
        <v>0</v>
      </c>
    </row>
    <row r="8">
      <c r="A8" t="str">
        <v>Demo agendada</v>
      </c>
      <c r="B8">
        <f>COUNTIF(Seguimiento!G:G,"Demo agendada")</f>
        <v>0</v>
      </c>
    </row>
    <row r="9">
      <c r="A9" t="str">
        <v>En prueba</v>
      </c>
      <c r="B9">
        <f>COUNTIF(Seguimiento!G:G,"En prueba")</f>
        <v>0</v>
      </c>
    </row>
    <row r="10">
      <c r="A10" t="str">
        <v>Cliente</v>
      </c>
      <c r="B10">
        <f>COUNTIF(Seguimiento!G:G,"Cliente")</f>
        <v>0</v>
      </c>
    </row>
    <row r="11">
      <c r="A11" t="str">
        <v>Descartado</v>
      </c>
      <c r="B11">
        <f>COUNTIF(Seguimiento!G:G,"Descartado")</f>
        <v>0</v>
      </c>
    </row>
    <row r="12">
      <c r="A12" t="str">
        <v/>
      </c>
      <c r="B12" t="str">
        <v/>
      </c>
    </row>
    <row r="13">
      <c r="A13" t="str">
        <v>Total contactados</v>
      </c>
      <c r="B13">
        <f>COUNTA(Seguimiento!A2:A1000)</f>
        <v>0</v>
      </c>
    </row>
    <row r="14">
      <c r="A14" t="str">
        <v>Demos agendadas</v>
      </c>
      <c r="B14">
        <f>COUNTIF(Seguimiento!G:G,"Demo agendada")+COUNTIF(Seguimiento!G:G,"En prueba")+COUNTIF(Seguimiento!G:G,"Cliente")</f>
        <v>0</v>
      </c>
    </row>
    <row r="15">
      <c r="A15" t="str">
        <v>Clientes</v>
      </c>
      <c r="B15">
        <f>COUNTIF(Seguimiento!G:G,"Cliente")</f>
        <v>0</v>
      </c>
    </row>
    <row r="16">
      <c r="A16" t="str">
        <v/>
      </c>
      <c r="B16" t="str">
        <v/>
      </c>
    </row>
    <row r="17">
      <c r="A17" t="str">
        <v>Tasa contacto→demo</v>
      </c>
      <c r="B17">
        <f>IF(B13=0,0,(B14)/B13)</f>
        <v>0</v>
      </c>
    </row>
    <row r="18">
      <c r="A18" t="str">
        <v>Tasa demo→cliente</v>
      </c>
      <c r="B18">
        <f>IF(B14=0,0,B15/B14)</f>
        <v>0</v>
      </c>
    </row>
    <row r="19">
      <c r="A19" t="str">
        <v/>
      </c>
      <c r="B19" t="str">
        <v/>
      </c>
    </row>
    <row r="20">
      <c r="A20" t="str">
        <v>OBJETIVO</v>
      </c>
      <c r="B20">
        <v>20</v>
      </c>
    </row>
    <row r="21">
      <c r="A21" t="str">
        <v>Faltan para objetivo</v>
      </c>
      <c r="B21">
        <f>MAX(0,B20-B15)</f>
        <v>0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CÓMO USAR ESTE SEGUIMIENTO</v>
      </c>
    </row>
    <row r="2">
      <c r="A2" t="str">
        <v/>
      </c>
    </row>
    <row r="3">
      <c r="A3" t="str">
        <v>1) Sube tu lista de clubes a la hoja "Seguimiento" (una fila por club).</v>
      </c>
    </row>
    <row r="4">
      <c r="A4" t="str">
        <v>2) Cada vez que envías un email, actualiza la columna "Estado" y "Fecha último contacto".</v>
      </c>
    </row>
    <row r="5">
      <c r="A5" t="str">
        <v>3) La hoja "Resumen" calcula el embudo automáticamente.</v>
      </c>
    </row>
    <row r="6">
      <c r="A6" t="str">
        <v/>
      </c>
    </row>
    <row r="7">
      <c r="A7" t="str">
        <v>CADENCIA DE EMAILS (3 toques, paran al responder):</v>
      </c>
    </row>
    <row r="8">
      <c r="A8" t="str">
        <v xml:space="preserve">  · Día 0  → Email 1 (presentación + caso Ciudad de Getafe)</v>
      </c>
    </row>
    <row r="9">
      <c r="A9" t="str">
        <v xml:space="preserve">  · Día 3  → Email 2 (recordatorio corto + beneficio concreto)</v>
      </c>
    </row>
    <row r="10">
      <c r="A10" t="str">
        <v xml:space="preserve">  · Día 7  → Email 3 (último toque + oferta de demo de 20 min)</v>
      </c>
    </row>
    <row r="11">
      <c r="A11" t="str">
        <v/>
      </c>
    </row>
    <row r="12">
      <c r="A12" t="str">
        <v>ESTADOS POSIBLES (cópialos como desplegable):</v>
      </c>
    </row>
    <row r="13">
      <c r="A13" t="str">
        <v xml:space="preserve">  Nuevo  ·  Email 1  ·  Email 2  ·  Email 3  ·  Respondió  ·  Demo agendada  ·  En prueba  ·  Cliente  ·  Descartado</v>
      </c>
    </row>
    <row r="14">
      <c r="A14" t="str">
        <v/>
      </c>
    </row>
    <row r="15">
      <c r="A15" t="str">
        <v>AÑADIR DESPLEGABLE DE COLOR EN GOOGLE SHEETS (30 seg):</v>
      </c>
    </row>
    <row r="16">
      <c r="A16" t="str">
        <v xml:space="preserve">  a) Selecciona la columna G (Estado).</v>
      </c>
    </row>
    <row r="17">
      <c r="A17" t="str">
        <v xml:space="preserve">  b) Menú: Datos → Validación de datos → Añadir regla → "Lista de elementos".</v>
      </c>
    </row>
    <row r="18">
      <c r="A18" t="str">
        <v xml:space="preserve">  c) Pega los estados de arriba separados por comas.</v>
      </c>
    </row>
    <row r="19">
      <c r="A19" t="str">
        <v xml:space="preserve">  d) Activa "Mostrar como chips de colores" para ver el embudo de un vistazo.</v>
      </c>
    </row>
    <row r="20">
      <c r="A20" t="str">
        <v/>
      </c>
    </row>
    <row r="21">
      <c r="A21" t="str">
        <v>RUTINA SEMANAL (15 min/día):</v>
      </c>
    </row>
    <row r="22">
      <c r="A22" t="str">
        <v xml:space="preserve">  · Lunes: cargar 100 clubes nuevos + enviar Email 1.</v>
      </c>
    </row>
    <row r="23">
      <c r="A23" t="str">
        <v xml:space="preserve">  · Mar-Vie: enviar seguimientos (Email 2 y 3) según fechas.</v>
      </c>
    </row>
    <row r="24">
      <c r="A24" t="str">
        <v xml:space="preserve">  · Responder en &lt;2h a cualquiera que conteste → agendar demo.</v>
      </c>
    </row>
  </sheetData>
  <ignoredErrors>
    <ignoredError numberStoredAsText="1" sqref="A1:A2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DE DÓNDE SACAR 100-200 CLUBES REALES (CON WEB, EMAIL Y TELÉFONO)</v>
      </c>
    </row>
    <row r="2">
      <c r="A2" t="str">
        <v/>
      </c>
    </row>
    <row r="3">
      <c r="A3" t="str">
        <v>⚠️ No inventes correos ni teléfonos: rebotan, queman tu dominio y es spam. Usa solo datos verificados de estas fuentes.</v>
      </c>
    </row>
    <row r="4">
      <c r="A4" t="str">
        <v/>
      </c>
    </row>
    <row r="5">
      <c r="A5" t="str">
        <v>1) DIRECTORIOS DE FEDERACIONES (la mejor fuente — clubes federados con contacto)</v>
      </c>
    </row>
    <row r="6">
      <c r="A6" t="str">
        <v xml:space="preserve">   · Madrid (RFFM):  https://www.rffm.es/competiciones/directorio-de-clubs</v>
      </c>
    </row>
    <row r="7">
      <c r="A7" t="str">
        <v xml:space="preserve">   · Cada comunidad tiene su federación con su "directorio de clubes". Busca en Google:</v>
      </c>
    </row>
    <row r="8">
      <c r="A8" t="str">
        <v xml:space="preserve">        "directorio de clubes" + [tu federación]  (ej: FCF Cataluña, RFAF Andalucía, FFCV Valencia, FGF Galicia...)</v>
      </c>
    </row>
    <row r="9">
      <c r="A9" t="str">
        <v xml:space="preserve">   · Listado de TODOS los clubes RFFM (escudos):  https://www.futbol-regional.es/escudos.php?fed=25</v>
      </c>
    </row>
    <row r="10">
      <c r="A10" t="str">
        <v xml:space="preserve">   · Páginas Amarillas (clubes deportivos Madrid):  https://www.paginasamarillas.es/a/clubes-deportivos/madrid/</v>
      </c>
    </row>
    <row r="11">
      <c r="A11" t="str">
        <v/>
      </c>
    </row>
    <row r="12">
      <c r="A12" t="str">
        <v>2) GOOGLE MAPS (rápido y con teléfono + web públicos)</v>
      </c>
    </row>
    <row r="13">
      <c r="A13" t="str">
        <v xml:space="preserve">   · Busca: "club de fútbol" + provincia/ciudad  (ej: "club de futbol Getafe").</v>
      </c>
    </row>
    <row r="14">
      <c r="A14" t="str">
        <v xml:space="preserve">   · Cada ficha trae nombre, web y teléfono. El email suele estar en la web del club (sección Contacto).</v>
      </c>
    </row>
    <row r="15">
      <c r="A15" t="str">
        <v xml:space="preserve">   · Para exportar en bloque a CSV usa la extensión gratis de Chrome "Instant Data Scraper".</v>
      </c>
    </row>
    <row r="16">
      <c r="A16" t="str">
        <v/>
      </c>
    </row>
    <row r="17">
      <c r="A17" t="str">
        <v>3) RFEF / FUTBOL-NET</v>
      </c>
    </row>
    <row r="18">
      <c r="A18" t="str">
        <v xml:space="preserve">   · Las webs de competición listan los clubes de cada liga; entra a cada club para su contacto.</v>
      </c>
    </row>
    <row r="19">
      <c r="A19" t="str">
        <v/>
      </c>
    </row>
    <row r="20">
      <c r="A20" t="str">
        <v>FLUJO RECOMENDADO (≈1 hora para 100-200 clubes):</v>
      </c>
    </row>
    <row r="21">
      <c r="A21" t="str">
        <v xml:space="preserve">   a) Abre el directorio de tu federación + Google Maps de tu provincia.</v>
      </c>
    </row>
    <row r="22">
      <c r="A22" t="str">
        <v xml:space="preserve">   b) Copia a la hoja "Seguimiento": nombre, ubicación, web, email y teléfono (verificados).</v>
      </c>
    </row>
    <row r="23">
      <c r="A23" t="str">
        <v xml:space="preserve">   c) Prioriza clubes de 6-20 equipos (los que más sufren el papeleo y mejor pagan).</v>
      </c>
    </row>
    <row r="24">
      <c r="A24" t="str">
        <v xml:space="preserve">   d) Cuando tengas ~100, arranca la secuencia de emails (ver hoja "Cómo usar").</v>
      </c>
    </row>
  </sheetData>
  <ignoredErrors>
    <ignoredError numberStoredAsText="1" sqref="A1:A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Seguimiento</vt:lpstr>
      <vt:lpstr>Resumen</vt:lpstr>
      <vt:lpstr>Cómo usar</vt:lpstr>
      <vt:lpstr>Fuentes de clubes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