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eguimiento" sheetId="1" r:id="rId1"/>
    <sheet name="Resumen" sheetId="2" r:id="rId2"/>
    <sheet name="Cómo usar" sheetId="3" r:id="rId3"/>
    <sheet name="Fuentes de clubes" sheetId="4" r:id="rId4"/>
  </sheets>
  <definedNames>
    <definedName name="_xlnm._FilterDatabase" localSheetId="0">'Seguimiento'!A1:N47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47"/>
  <sheetViews>
    <sheetView workbookViewId="0"/>
  </sheetViews>
  <cols>
    <col min="1" max="1" width="30.83203125" customWidth="1"/>
    <col min="2" max="2" width="16.83203125" customWidth="1"/>
    <col min="3" max="3" width="28.83203125" customWidth="1"/>
    <col min="4" max="4" width="24.83203125" customWidth="1"/>
    <col min="5" max="5" width="13.83203125" customWidth="1"/>
    <col min="6" max="6" width="14.83203125" customWidth="1"/>
    <col min="7" max="7" width="14.83203125" customWidth="1"/>
    <col min="8" max="8" width="16.83203125" customWidth="1"/>
    <col min="9" max="9" width="16.83203125" customWidth="1"/>
    <col min="10" max="10" width="14.83203125" customWidth="1"/>
    <col min="11" max="11" width="18.83203125" customWidth="1"/>
    <col min="12" max="12" width="18.83203125" customWidth="1"/>
    <col min="13" max="13" width="16.83203125" customWidth="1"/>
    <col min="14" max="14" width="34.83203125" customWidth="1"/>
  </cols>
  <sheetData>
    <row r="1">
      <c r="A1" t="str">
        <v>Club</v>
      </c>
      <c r="B1" t="str">
        <v>Ubicación</v>
      </c>
      <c r="C1" t="str">
        <v>Web</v>
      </c>
      <c r="D1" t="str">
        <v>Email</v>
      </c>
      <c r="E1" t="str">
        <v>Teléfono</v>
      </c>
      <c r="F1" t="str">
        <v>Federación / Liga</v>
      </c>
      <c r="G1" t="str">
        <v>Estado</v>
      </c>
      <c r="H1" t="str">
        <v>Persona contacto</v>
      </c>
      <c r="I1" t="str">
        <v>Fecha 1er contacto</v>
      </c>
      <c r="J1" t="str">
        <v>Emails enviados</v>
      </c>
      <c r="K1" t="str">
        <v>Fecha último contacto</v>
      </c>
      <c r="L1" t="str">
        <v>Próxima acción</v>
      </c>
      <c r="M1" t="str">
        <v>Fecha próx. acción</v>
      </c>
      <c r="N1" t="str">
        <v>Notas</v>
      </c>
    </row>
    <row r="2">
      <c r="A2" t="str">
        <v>E.F. Ciudad de Getafe</v>
      </c>
      <c r="B2" t="str">
        <v>Getafe</v>
      </c>
      <c r="C2" t="str">
        <v>efciudaddegetafe.com</v>
      </c>
      <c r="D2" t="str">
        <v>info@efciudaddegetafe.com</v>
      </c>
      <c r="E2" t="str">
        <v/>
      </c>
      <c r="F2" t="str">
        <v>RFFM</v>
      </c>
      <c r="G2" t="str">
        <v>Cliente</v>
      </c>
      <c r="H2" t="str">
        <v>Diego</v>
      </c>
      <c r="I2" t="str">
        <v/>
      </c>
      <c r="J2" t="str">
        <v/>
      </c>
      <c r="K2" t="str">
        <v/>
      </c>
      <c r="L2" t="str">
        <v>—</v>
      </c>
      <c r="M2" t="str">
        <v/>
      </c>
      <c r="N2" t="str">
        <v>CLIENTE / caso de éxito</v>
      </c>
    </row>
    <row r="3">
      <c r="A3" t="str">
        <v>Escuela Fútbol Pachón y López</v>
      </c>
      <c r="B3" t="str">
        <v>Getafe</v>
      </c>
      <c r="C3" t="str">
        <v>facebook.com/EFPachonLopez</v>
      </c>
      <c r="D3" t="str">
        <v>verificar (web/rffm.es)</v>
      </c>
      <c r="E3" t="str">
        <v>verificar</v>
      </c>
      <c r="F3" t="str">
        <v>RFFM</v>
      </c>
      <c r="G3" t="str">
        <v>Nuevo</v>
      </c>
      <c r="H3" t="str">
        <v/>
      </c>
      <c r="I3" t="str">
        <v/>
      </c>
      <c r="J3" t="str">
        <v>0</v>
      </c>
      <c r="K3" t="str">
        <v/>
      </c>
      <c r="L3" t="str">
        <v>Enviar Email 1</v>
      </c>
      <c r="M3" t="str">
        <v/>
      </c>
      <c r="N3" t="str">
        <v>Escuela base</v>
      </c>
    </row>
    <row r="4">
      <c r="A4" t="str">
        <v>Tecnificación El Bercial</v>
      </c>
      <c r="B4" t="str">
        <v>Getafe (El Bercial)</v>
      </c>
      <c r="C4" t="str">
        <v>tecnificacionelbercial.com</v>
      </c>
      <c r="D4" t="str">
        <v>verificar (web/rffm.es)</v>
      </c>
      <c r="E4" t="str">
        <v>verificar</v>
      </c>
      <c r="F4" t="str">
        <v>RFFM</v>
      </c>
      <c r="G4" t="str">
        <v>Nuevo</v>
      </c>
      <c r="H4" t="str">
        <v/>
      </c>
      <c r="I4" t="str">
        <v/>
      </c>
      <c r="J4" t="str">
        <v>0</v>
      </c>
      <c r="K4" t="str">
        <v/>
      </c>
      <c r="L4" t="str">
        <v>Enviar Email 1</v>
      </c>
      <c r="M4" t="str">
        <v/>
      </c>
      <c r="N4" t="str">
        <v/>
      </c>
    </row>
    <row r="5">
      <c r="A5" t="str">
        <v>Getafe CF</v>
      </c>
      <c r="B5" t="str">
        <v>Getafe</v>
      </c>
      <c r="C5" t="str">
        <v>getafecf.com</v>
      </c>
      <c r="D5" t="str">
        <v>verificar (web/rffm.es)</v>
      </c>
      <c r="E5" t="str">
        <v>verificar</v>
      </c>
      <c r="F5" t="str">
        <v>RFFM</v>
      </c>
      <c r="G5" t="str">
        <v>Nuevo</v>
      </c>
      <c r="H5" t="str">
        <v/>
      </c>
      <c r="I5" t="str">
        <v/>
      </c>
      <c r="J5" t="str">
        <v>0</v>
      </c>
      <c r="K5" t="str">
        <v/>
      </c>
      <c r="L5" t="str">
        <v>Enviar Email 1</v>
      </c>
      <c r="M5" t="str">
        <v/>
      </c>
      <c r="N5" t="str">
        <v>Grande/pro — baja prioridad</v>
      </c>
    </row>
    <row r="6">
      <c r="A6" t="str">
        <v>Móstoles CF</v>
      </c>
      <c r="B6" t="str">
        <v>Móstoles</v>
      </c>
      <c r="C6" t="str">
        <v>verificar</v>
      </c>
      <c r="D6" t="str">
        <v>verificar (web/rffm.es)</v>
      </c>
      <c r="E6" t="str">
        <v>verificar</v>
      </c>
      <c r="F6" t="str">
        <v>RFFM</v>
      </c>
      <c r="G6" t="str">
        <v>Nuevo</v>
      </c>
      <c r="H6" t="str">
        <v/>
      </c>
      <c r="I6" t="str">
        <v/>
      </c>
      <c r="J6" t="str">
        <v>0</v>
      </c>
      <c r="K6" t="str">
        <v/>
      </c>
      <c r="L6" t="str">
        <v>Enviar Email 1</v>
      </c>
      <c r="M6" t="str">
        <v/>
      </c>
      <c r="N6" t="str">
        <v>Buen perfil base</v>
      </c>
    </row>
    <row r="7">
      <c r="A7" t="str">
        <v>CD Móstoles</v>
      </c>
      <c r="B7" t="str">
        <v>Móstoles</v>
      </c>
      <c r="C7" t="str">
        <v>verificar</v>
      </c>
      <c r="D7" t="str">
        <v>verificar (web/rffm.es)</v>
      </c>
      <c r="E7" t="str">
        <v>verificar</v>
      </c>
      <c r="F7" t="str">
        <v>RFFM</v>
      </c>
      <c r="G7" t="str">
        <v>Nuevo</v>
      </c>
      <c r="H7" t="str">
        <v/>
      </c>
      <c r="I7" t="str">
        <v/>
      </c>
      <c r="J7" t="str">
        <v>0</v>
      </c>
      <c r="K7" t="str">
        <v/>
      </c>
      <c r="L7" t="str">
        <v>Enviar Email 1</v>
      </c>
      <c r="M7" t="str">
        <v/>
      </c>
      <c r="N7" t="str">
        <v/>
      </c>
    </row>
    <row r="8">
      <c r="A8" t="str">
        <v>GM Football Academy</v>
      </c>
      <c r="B8" t="str">
        <v>Móstoles</v>
      </c>
      <c r="C8" t="str">
        <v>facebook.com/gmfacademy</v>
      </c>
      <c r="D8" t="str">
        <v>verificar (web/rffm.es)</v>
      </c>
      <c r="E8" t="str">
        <v>verificar</v>
      </c>
      <c r="F8" t="str">
        <v>RFFM</v>
      </c>
      <c r="G8" t="str">
        <v>Nuevo</v>
      </c>
      <c r="H8" t="str">
        <v/>
      </c>
      <c r="I8" t="str">
        <v/>
      </c>
      <c r="J8" t="str">
        <v>0</v>
      </c>
      <c r="K8" t="str">
        <v/>
      </c>
      <c r="L8" t="str">
        <v>Enviar Email 1</v>
      </c>
      <c r="M8" t="str">
        <v/>
      </c>
      <c r="N8" t="str">
        <v/>
      </c>
    </row>
    <row r="9">
      <c r="A9" t="str">
        <v>CF Fuenlabrada</v>
      </c>
      <c r="B9" t="str">
        <v>Fuenlabrada</v>
      </c>
      <c r="C9" t="str">
        <v>cffuenlabrada.es</v>
      </c>
      <c r="D9" t="str">
        <v>verificar (web/rffm.es)</v>
      </c>
      <c r="E9" t="str">
        <v>verificar</v>
      </c>
      <c r="F9" t="str">
        <v>RFFM</v>
      </c>
      <c r="G9" t="str">
        <v>Nuevo</v>
      </c>
      <c r="H9" t="str">
        <v/>
      </c>
      <c r="I9" t="str">
        <v/>
      </c>
      <c r="J9" t="str">
        <v>0</v>
      </c>
      <c r="K9" t="str">
        <v/>
      </c>
      <c r="L9" t="str">
        <v>Enviar Email 1</v>
      </c>
      <c r="M9" t="str">
        <v/>
      </c>
      <c r="N9" t="str">
        <v/>
      </c>
    </row>
    <row r="10">
      <c r="A10" t="str">
        <v>CD Fuenlabrada Falcons</v>
      </c>
      <c r="B10" t="str">
        <v>Fuenlabrada</v>
      </c>
      <c r="C10" t="str">
        <v>verificar</v>
      </c>
      <c r="D10" t="str">
        <v>verificar (web/rffm.es)</v>
      </c>
      <c r="E10" t="str">
        <v>verificar</v>
      </c>
      <c r="F10" t="str">
        <v>RFFM</v>
      </c>
      <c r="G10" t="str">
        <v>Nuevo</v>
      </c>
      <c r="H10" t="str">
        <v/>
      </c>
      <c r="I10" t="str">
        <v/>
      </c>
      <c r="J10" t="str">
        <v>0</v>
      </c>
      <c r="K10" t="str">
        <v/>
      </c>
      <c r="L10" t="str">
        <v>Enviar Email 1</v>
      </c>
      <c r="M10" t="str">
        <v/>
      </c>
      <c r="N10" t="str">
        <v>12 equipos, 215 jugadores — buen perfil</v>
      </c>
    </row>
    <row r="11">
      <c r="A11" t="str">
        <v>CDE Fuenlabrada El Naranjo</v>
      </c>
      <c r="B11" t="str">
        <v>Fuenlabrada</v>
      </c>
      <c r="C11" t="str">
        <v>cdefuenlabradaelnaranjo.com</v>
      </c>
      <c r="D11" t="str">
        <v>verificar (web/rffm.es)</v>
      </c>
      <c r="E11" t="str">
        <v>verificar</v>
      </c>
      <c r="F11" t="str">
        <v>RFFM</v>
      </c>
      <c r="G11" t="str">
        <v>Nuevo</v>
      </c>
      <c r="H11" t="str">
        <v/>
      </c>
      <c r="I11" t="str">
        <v/>
      </c>
      <c r="J11" t="str">
        <v>0</v>
      </c>
      <c r="K11" t="str">
        <v/>
      </c>
      <c r="L11" t="str">
        <v>Enviar Email 1</v>
      </c>
      <c r="M11" t="str">
        <v/>
      </c>
      <c r="N11" t="str">
        <v/>
      </c>
    </row>
    <row r="12">
      <c r="A12" t="str">
        <v>CD Leganés</v>
      </c>
      <c r="B12" t="str">
        <v>Leganés</v>
      </c>
      <c r="C12" t="str">
        <v>cdleganes.com</v>
      </c>
      <c r="D12" t="str">
        <v>verificar (web/rffm.es)</v>
      </c>
      <c r="E12" t="str">
        <v>verificar</v>
      </c>
      <c r="F12" t="str">
        <v>RFFM</v>
      </c>
      <c r="G12" t="str">
        <v>Nuevo</v>
      </c>
      <c r="H12" t="str">
        <v/>
      </c>
      <c r="I12" t="str">
        <v/>
      </c>
      <c r="J12" t="str">
        <v>0</v>
      </c>
      <c r="K12" t="str">
        <v/>
      </c>
      <c r="L12" t="str">
        <v>Enviar Email 1</v>
      </c>
      <c r="M12" t="str">
        <v/>
      </c>
      <c r="N12" t="str">
        <v>Grande/pro — baja prioridad</v>
      </c>
    </row>
    <row r="13">
      <c r="A13" t="str">
        <v>AD Alcorcón</v>
      </c>
      <c r="B13" t="str">
        <v>Alcorcón</v>
      </c>
      <c r="C13" t="str">
        <v>verificar</v>
      </c>
      <c r="D13" t="str">
        <v>verificar (web/rffm.es)</v>
      </c>
      <c r="E13" t="str">
        <v>verificar</v>
      </c>
      <c r="F13" t="str">
        <v>RFFM</v>
      </c>
      <c r="G13" t="str">
        <v>Nuevo</v>
      </c>
      <c r="H13" t="str">
        <v/>
      </c>
      <c r="I13" t="str">
        <v/>
      </c>
      <c r="J13" t="str">
        <v>0</v>
      </c>
      <c r="K13" t="str">
        <v/>
      </c>
      <c r="L13" t="str">
        <v>Enviar Email 1</v>
      </c>
      <c r="M13" t="str">
        <v/>
      </c>
      <c r="N13" t="str">
        <v>Grande/pro — baja prioridad</v>
      </c>
    </row>
    <row r="14">
      <c r="A14" t="str">
        <v>Escuela Municipal Fútbol Valdemoro</v>
      </c>
      <c r="B14" t="str">
        <v>Valdemoro</v>
      </c>
      <c r="C14" t="str">
        <v>verificar</v>
      </c>
      <c r="D14" t="str">
        <v>verificar (web/rffm.es)</v>
      </c>
      <c r="E14" t="str">
        <v>verificar</v>
      </c>
      <c r="F14" t="str">
        <v>RFFM</v>
      </c>
      <c r="G14" t="str">
        <v>Nuevo</v>
      </c>
      <c r="H14" t="str">
        <v/>
      </c>
      <c r="I14" t="str">
        <v/>
      </c>
      <c r="J14" t="str">
        <v>0</v>
      </c>
      <c r="K14" t="str">
        <v/>
      </c>
      <c r="L14" t="str">
        <v>Enviar Email 1</v>
      </c>
      <c r="M14" t="str">
        <v/>
      </c>
      <c r="N14" t="str">
        <v/>
      </c>
    </row>
    <row r="15">
      <c r="A15" t="str">
        <v>A.D.Y.C. Pinto</v>
      </c>
      <c r="B15" t="str">
        <v>Pinto</v>
      </c>
      <c r="C15" t="str">
        <v>verificar</v>
      </c>
      <c r="D15" t="str">
        <v>verificar (web/rffm.es)</v>
      </c>
      <c r="E15" t="str">
        <v>verificar</v>
      </c>
      <c r="F15" t="str">
        <v>RFFM</v>
      </c>
      <c r="G15" t="str">
        <v>Nuevo</v>
      </c>
      <c r="H15" t="str">
        <v/>
      </c>
      <c r="I15" t="str">
        <v/>
      </c>
      <c r="J15" t="str">
        <v>0</v>
      </c>
      <c r="K15" t="str">
        <v/>
      </c>
      <c r="L15" t="str">
        <v>Enviar Email 1</v>
      </c>
      <c r="M15" t="str">
        <v/>
      </c>
      <c r="N15" t="str">
        <v/>
      </c>
    </row>
    <row r="16">
      <c r="A16" t="str">
        <v>Atlético de Pinto</v>
      </c>
      <c r="B16" t="str">
        <v>Pinto</v>
      </c>
      <c r="C16" t="str">
        <v>verificar</v>
      </c>
      <c r="D16" t="str">
        <v>verificar (web/rffm.es)</v>
      </c>
      <c r="E16" t="str">
        <v>verificar</v>
      </c>
      <c r="F16" t="str">
        <v>RFFM</v>
      </c>
      <c r="G16" t="str">
        <v>Nuevo</v>
      </c>
      <c r="H16" t="str">
        <v/>
      </c>
      <c r="I16" t="str">
        <v/>
      </c>
      <c r="J16" t="str">
        <v>0</v>
      </c>
      <c r="K16" t="str">
        <v/>
      </c>
      <c r="L16" t="str">
        <v>Enviar Email 1</v>
      </c>
      <c r="M16" t="str">
        <v/>
      </c>
      <c r="N16" t="str">
        <v/>
      </c>
    </row>
    <row r="17">
      <c r="A17" t="str">
        <v>Sporting Ciempozuelos</v>
      </c>
      <c r="B17" t="str">
        <v>Ciempozuelos</v>
      </c>
      <c r="C17" t="str">
        <v>sportingciempozuelos.es</v>
      </c>
      <c r="D17" t="str">
        <v>verificar (web/rffm.es)</v>
      </c>
      <c r="E17" t="str">
        <v>verificar</v>
      </c>
      <c r="F17" t="str">
        <v>RFFM</v>
      </c>
      <c r="G17" t="str">
        <v>Nuevo</v>
      </c>
      <c r="H17" t="str">
        <v/>
      </c>
      <c r="I17" t="str">
        <v/>
      </c>
      <c r="J17" t="str">
        <v>0</v>
      </c>
      <c r="K17" t="str">
        <v/>
      </c>
      <c r="L17" t="str">
        <v>Enviar Email 1</v>
      </c>
      <c r="M17" t="str">
        <v/>
      </c>
      <c r="N17" t="str">
        <v>Escuela base nueva — buen perfil</v>
      </c>
    </row>
    <row r="18">
      <c r="A18" t="str">
        <v>CD Ciempozuelos</v>
      </c>
      <c r="B18" t="str">
        <v>Ciempozuelos</v>
      </c>
      <c r="C18" t="str">
        <v>verificar</v>
      </c>
      <c r="D18" t="str">
        <v>verificar (web/rffm.es)</v>
      </c>
      <c r="E18" t="str">
        <v>verificar</v>
      </c>
      <c r="F18" t="str">
        <v>RFFM</v>
      </c>
      <c r="G18" t="str">
        <v>Nuevo</v>
      </c>
      <c r="H18" t="str">
        <v/>
      </c>
      <c r="I18" t="str">
        <v/>
      </c>
      <c r="J18" t="str">
        <v>0</v>
      </c>
      <c r="K18" t="str">
        <v/>
      </c>
      <c r="L18" t="str">
        <v>Enviar Email 1</v>
      </c>
      <c r="M18" t="str">
        <v/>
      </c>
      <c r="N18" t="str">
        <v/>
      </c>
    </row>
    <row r="19">
      <c r="A19" t="str">
        <v>E.F. Parla</v>
      </c>
      <c r="B19" t="str">
        <v>Parla</v>
      </c>
      <c r="C19" t="str">
        <v>verificar</v>
      </c>
      <c r="D19" t="str">
        <v>verificar (web/rffm.es)</v>
      </c>
      <c r="E19" t="str">
        <v>verificar</v>
      </c>
      <c r="F19" t="str">
        <v>RFFM</v>
      </c>
      <c r="G19" t="str">
        <v>Nuevo</v>
      </c>
      <c r="H19" t="str">
        <v/>
      </c>
      <c r="I19" t="str">
        <v/>
      </c>
      <c r="J19" t="str">
        <v>0</v>
      </c>
      <c r="K19" t="str">
        <v/>
      </c>
      <c r="L19" t="str">
        <v>Enviar Email 1</v>
      </c>
      <c r="M19" t="str">
        <v/>
      </c>
      <c r="N19" t="str">
        <v>Verificar nombre exacto</v>
      </c>
    </row>
    <row r="20">
      <c r="A20" t="str">
        <v>Real Sociedad Deportiva Alcalá</v>
      </c>
      <c r="B20" t="str">
        <v>Alcalá de Henares</v>
      </c>
      <c r="C20" t="str">
        <v>rsdalcala.com</v>
      </c>
      <c r="D20" t="str">
        <v>verificar (web/rffm.es)</v>
      </c>
      <c r="E20" t="str">
        <v>verificar</v>
      </c>
      <c r="F20" t="str">
        <v>RFFM</v>
      </c>
      <c r="G20" t="str">
        <v>Nuevo</v>
      </c>
      <c r="H20" t="str">
        <v/>
      </c>
      <c r="I20" t="str">
        <v/>
      </c>
      <c r="J20" t="str">
        <v>0</v>
      </c>
      <c r="K20" t="str">
        <v/>
      </c>
      <c r="L20" t="str">
        <v>Enviar Email 1</v>
      </c>
      <c r="M20" t="str">
        <v/>
      </c>
      <c r="N20" t="str">
        <v>Grande — tiene base</v>
      </c>
    </row>
    <row r="21">
      <c r="A21" t="str">
        <v>Club DYS Sport Alcalá</v>
      </c>
      <c r="B21" t="str">
        <v>Alcalá de Henares</v>
      </c>
      <c r="C21" t="str">
        <v>verificar</v>
      </c>
      <c r="D21" t="str">
        <v>verificar (web/rffm.es)</v>
      </c>
      <c r="E21" t="str">
        <v>verificar</v>
      </c>
      <c r="F21" t="str">
        <v>RFFM</v>
      </c>
      <c r="G21" t="str">
        <v>Nuevo</v>
      </c>
      <c r="H21" t="str">
        <v/>
      </c>
      <c r="I21" t="str">
        <v/>
      </c>
      <c r="J21" t="str">
        <v>0</v>
      </c>
      <c r="K21" t="str">
        <v/>
      </c>
      <c r="L21" t="str">
        <v>Enviar Email 1</v>
      </c>
      <c r="M21" t="str">
        <v/>
      </c>
      <c r="N21" t="str">
        <v/>
      </c>
    </row>
    <row r="22">
      <c r="A22" t="str">
        <v>CD San Fernando</v>
      </c>
      <c r="B22" t="str">
        <v>San Fernando de Henares</v>
      </c>
      <c r="C22" t="str">
        <v>verificar</v>
      </c>
      <c r="D22" t="str">
        <v>verificar (web/rffm.es)</v>
      </c>
      <c r="E22" t="str">
        <v>verificar</v>
      </c>
      <c r="F22" t="str">
        <v>RFFM</v>
      </c>
      <c r="G22" t="str">
        <v>Nuevo</v>
      </c>
      <c r="H22" t="str">
        <v/>
      </c>
      <c r="I22" t="str">
        <v/>
      </c>
      <c r="J22" t="str">
        <v>0</v>
      </c>
      <c r="K22" t="str">
        <v/>
      </c>
      <c r="L22" t="str">
        <v>Enviar Email 1</v>
      </c>
      <c r="M22" t="str">
        <v/>
      </c>
      <c r="N22" t="str">
        <v/>
      </c>
    </row>
    <row r="23">
      <c r="A23" t="str">
        <v>AD Torrejón CF</v>
      </c>
      <c r="B23" t="str">
        <v>Torrejón de Ardoz</v>
      </c>
      <c r="C23" t="str">
        <v>verificar</v>
      </c>
      <c r="D23" t="str">
        <v>verificar (web/rffm.es)</v>
      </c>
      <c r="E23" t="str">
        <v>verificar</v>
      </c>
      <c r="F23" t="str">
        <v>RFFM</v>
      </c>
      <c r="G23" t="str">
        <v>Nuevo</v>
      </c>
      <c r="H23" t="str">
        <v/>
      </c>
      <c r="I23" t="str">
        <v/>
      </c>
      <c r="J23" t="str">
        <v>0</v>
      </c>
      <c r="K23" t="str">
        <v/>
      </c>
      <c r="L23" t="str">
        <v>Enviar Email 1</v>
      </c>
      <c r="M23" t="str">
        <v/>
      </c>
      <c r="N23" t="str">
        <v/>
      </c>
    </row>
    <row r="24">
      <c r="A24" t="str">
        <v>CD Coslada</v>
      </c>
      <c r="B24" t="str">
        <v>Coslada</v>
      </c>
      <c r="C24" t="str">
        <v>verificar</v>
      </c>
      <c r="D24" t="str">
        <v>verificar (web/rffm.es)</v>
      </c>
      <c r="E24" t="str">
        <v>verificar</v>
      </c>
      <c r="F24" t="str">
        <v>RFFM</v>
      </c>
      <c r="G24" t="str">
        <v>Nuevo</v>
      </c>
      <c r="H24" t="str">
        <v/>
      </c>
      <c r="I24" t="str">
        <v/>
      </c>
      <c r="J24" t="str">
        <v>0</v>
      </c>
      <c r="K24" t="str">
        <v/>
      </c>
      <c r="L24" t="str">
        <v>Enviar Email 1</v>
      </c>
      <c r="M24" t="str">
        <v/>
      </c>
      <c r="N24" t="str">
        <v/>
      </c>
    </row>
    <row r="25">
      <c r="A25" t="str">
        <v>Club Juventud Sanse</v>
      </c>
      <c r="B25" t="str">
        <v>San Sebastián de los Reyes</v>
      </c>
      <c r="C25" t="str">
        <v>verificar</v>
      </c>
      <c r="D25" t="str">
        <v>verificar (web/rffm.es)</v>
      </c>
      <c r="E25" t="str">
        <v>verificar</v>
      </c>
      <c r="F25" t="str">
        <v>RFFM</v>
      </c>
      <c r="G25" t="str">
        <v>Nuevo</v>
      </c>
      <c r="H25" t="str">
        <v/>
      </c>
      <c r="I25" t="str">
        <v/>
      </c>
      <c r="J25" t="str">
        <v>0</v>
      </c>
      <c r="K25" t="str">
        <v/>
      </c>
      <c r="L25" t="str">
        <v>Enviar Email 1</v>
      </c>
      <c r="M25" t="str">
        <v/>
      </c>
      <c r="N25" t="str">
        <v>900 jugadores, +50 equipos — gran perfil</v>
      </c>
    </row>
    <row r="26">
      <c r="A26" t="str">
        <v>UD San Sebastián de los Reyes</v>
      </c>
      <c r="B26" t="str">
        <v>San Sebastián de los Reyes</v>
      </c>
      <c r="C26" t="str">
        <v>verificar</v>
      </c>
      <c r="D26" t="str">
        <v>verificar (web/rffm.es)</v>
      </c>
      <c r="E26" t="str">
        <v>verificar</v>
      </c>
      <c r="F26" t="str">
        <v>RFFM</v>
      </c>
      <c r="G26" t="str">
        <v>Nuevo</v>
      </c>
      <c r="H26" t="str">
        <v/>
      </c>
      <c r="I26" t="str">
        <v/>
      </c>
      <c r="J26" t="str">
        <v>0</v>
      </c>
      <c r="K26" t="str">
        <v/>
      </c>
      <c r="L26" t="str">
        <v>Enviar Email 1</v>
      </c>
      <c r="M26" t="str">
        <v/>
      </c>
      <c r="N26" t="str">
        <v>600 cantera — grande</v>
      </c>
    </row>
    <row r="27">
      <c r="A27" t="str">
        <v>Academia Fútbol Alcobendas</v>
      </c>
      <c r="B27" t="str">
        <v>Alcobendas</v>
      </c>
      <c r="C27" t="str">
        <v>verificar</v>
      </c>
      <c r="D27" t="str">
        <v>verificar (web/rffm.es)</v>
      </c>
      <c r="E27" t="str">
        <v>verificar</v>
      </c>
      <c r="F27" t="str">
        <v>RFFM</v>
      </c>
      <c r="G27" t="str">
        <v>Nuevo</v>
      </c>
      <c r="H27" t="str">
        <v/>
      </c>
      <c r="I27" t="str">
        <v/>
      </c>
      <c r="J27" t="str">
        <v>0</v>
      </c>
      <c r="K27" t="str">
        <v/>
      </c>
      <c r="L27" t="str">
        <v>Enviar Email 1</v>
      </c>
      <c r="M27" t="str">
        <v/>
      </c>
      <c r="N27" t="str">
        <v/>
      </c>
    </row>
    <row r="28">
      <c r="A28" t="str">
        <v>Alcobendas CF</v>
      </c>
      <c r="B28" t="str">
        <v>Alcobendas</v>
      </c>
      <c r="C28" t="str">
        <v>verificar</v>
      </c>
      <c r="D28" t="str">
        <v>verificar (web/rffm.es)</v>
      </c>
      <c r="E28" t="str">
        <v>verificar</v>
      </c>
      <c r="F28" t="str">
        <v>RFFM</v>
      </c>
      <c r="G28" t="str">
        <v>Nuevo</v>
      </c>
      <c r="H28" t="str">
        <v/>
      </c>
      <c r="I28" t="str">
        <v/>
      </c>
      <c r="J28" t="str">
        <v>0</v>
      </c>
      <c r="K28" t="str">
        <v/>
      </c>
      <c r="L28" t="str">
        <v>Enviar Email 1</v>
      </c>
      <c r="M28" t="str">
        <v/>
      </c>
      <c r="N28" t="str">
        <v/>
      </c>
    </row>
    <row r="29">
      <c r="A29" t="str">
        <v>Rayo Ciudad Alcobendas CF</v>
      </c>
      <c r="B29" t="str">
        <v>Alcobendas</v>
      </c>
      <c r="C29" t="str">
        <v>verificar</v>
      </c>
      <c r="D29" t="str">
        <v>verificar (web/rffm.es)</v>
      </c>
      <c r="E29" t="str">
        <v>verificar</v>
      </c>
      <c r="F29" t="str">
        <v>RFFM</v>
      </c>
      <c r="G29" t="str">
        <v>Nuevo</v>
      </c>
      <c r="H29" t="str">
        <v/>
      </c>
      <c r="I29" t="str">
        <v/>
      </c>
      <c r="J29" t="str">
        <v>0</v>
      </c>
      <c r="K29" t="str">
        <v/>
      </c>
      <c r="L29" t="str">
        <v>Enviar Email 1</v>
      </c>
      <c r="M29" t="str">
        <v/>
      </c>
      <c r="N29" t="str">
        <v/>
      </c>
    </row>
    <row r="30">
      <c r="A30" t="str">
        <v>AD Colmenar Viejo</v>
      </c>
      <c r="B30" t="str">
        <v>Colmenar Viejo</v>
      </c>
      <c r="C30" t="str">
        <v>verificar</v>
      </c>
      <c r="D30" t="str">
        <v>verificar (web/rffm.es)</v>
      </c>
      <c r="E30" t="str">
        <v>verificar</v>
      </c>
      <c r="F30" t="str">
        <v>RFFM</v>
      </c>
      <c r="G30" t="str">
        <v>Nuevo</v>
      </c>
      <c r="H30" t="str">
        <v/>
      </c>
      <c r="I30" t="str">
        <v/>
      </c>
      <c r="J30" t="str">
        <v>0</v>
      </c>
      <c r="K30" t="str">
        <v/>
      </c>
      <c r="L30" t="str">
        <v>Enviar Email 1</v>
      </c>
      <c r="M30" t="str">
        <v/>
      </c>
      <c r="N30" t="str">
        <v/>
      </c>
    </row>
    <row r="31">
      <c r="A31" t="str">
        <v>EF Siete Picos</v>
      </c>
      <c r="B31" t="str">
        <v>Colmenar Viejo</v>
      </c>
      <c r="C31" t="str">
        <v>verificar</v>
      </c>
      <c r="D31" t="str">
        <v>verificar (web/rffm.es)</v>
      </c>
      <c r="E31" t="str">
        <v>verificar</v>
      </c>
      <c r="F31" t="str">
        <v>RFFM</v>
      </c>
      <c r="G31" t="str">
        <v>Nuevo</v>
      </c>
      <c r="H31" t="str">
        <v/>
      </c>
      <c r="I31" t="str">
        <v/>
      </c>
      <c r="J31" t="str">
        <v>0</v>
      </c>
      <c r="K31" t="str">
        <v/>
      </c>
      <c r="L31" t="str">
        <v>Enviar Email 1</v>
      </c>
      <c r="M31" t="str">
        <v/>
      </c>
      <c r="N31" t="str">
        <v/>
      </c>
    </row>
    <row r="32">
      <c r="A32" t="str">
        <v>CD Fútbol Tres Cantos</v>
      </c>
      <c r="B32" t="str">
        <v>Tres Cantos</v>
      </c>
      <c r="C32" t="str">
        <v>verificar</v>
      </c>
      <c r="D32" t="str">
        <v>verificar (web/rffm.es)</v>
      </c>
      <c r="E32" t="str">
        <v>verificar</v>
      </c>
      <c r="F32" t="str">
        <v>RFFM</v>
      </c>
      <c r="G32" t="str">
        <v>Nuevo</v>
      </c>
      <c r="H32" t="str">
        <v/>
      </c>
      <c r="I32" t="str">
        <v/>
      </c>
      <c r="J32" t="str">
        <v>0</v>
      </c>
      <c r="K32" t="str">
        <v/>
      </c>
      <c r="L32" t="str">
        <v>Enviar Email 1</v>
      </c>
      <c r="M32" t="str">
        <v/>
      </c>
      <c r="N32" t="str">
        <v/>
      </c>
    </row>
    <row r="33">
      <c r="A33" t="str">
        <v>AD Fútbol Base 3 Cantos</v>
      </c>
      <c r="B33" t="str">
        <v>Tres Cantos</v>
      </c>
      <c r="C33" t="str">
        <v>verificar</v>
      </c>
      <c r="D33" t="str">
        <v>verificar (web/rffm.es)</v>
      </c>
      <c r="E33" t="str">
        <v>verificar</v>
      </c>
      <c r="F33" t="str">
        <v>RFFM</v>
      </c>
      <c r="G33" t="str">
        <v>Nuevo</v>
      </c>
      <c r="H33" t="str">
        <v/>
      </c>
      <c r="I33" t="str">
        <v/>
      </c>
      <c r="J33" t="str">
        <v>0</v>
      </c>
      <c r="K33" t="str">
        <v/>
      </c>
      <c r="L33" t="str">
        <v>Enviar Email 1</v>
      </c>
      <c r="M33" t="str">
        <v/>
      </c>
      <c r="N33" t="str">
        <v/>
      </c>
    </row>
    <row r="34">
      <c r="A34" t="str">
        <v>UD Tres Cantos</v>
      </c>
      <c r="B34" t="str">
        <v>Tres Cantos</v>
      </c>
      <c r="C34" t="str">
        <v>verificar</v>
      </c>
      <c r="D34" t="str">
        <v>verificar (web/rffm.es)</v>
      </c>
      <c r="E34" t="str">
        <v>verificar</v>
      </c>
      <c r="F34" t="str">
        <v>RFFM</v>
      </c>
      <c r="G34" t="str">
        <v>Nuevo</v>
      </c>
      <c r="H34" t="str">
        <v/>
      </c>
      <c r="I34" t="str">
        <v/>
      </c>
      <c r="J34" t="str">
        <v>0</v>
      </c>
      <c r="K34" t="str">
        <v/>
      </c>
      <c r="L34" t="str">
        <v>Enviar Email 1</v>
      </c>
      <c r="M34" t="str">
        <v/>
      </c>
      <c r="N34" t="str">
        <v/>
      </c>
    </row>
    <row r="35">
      <c r="A35" t="str">
        <v>Club FDE</v>
      </c>
      <c r="B35" t="str">
        <v>Pozuelo de Alarcón</v>
      </c>
      <c r="C35" t="str">
        <v>clubfde.com</v>
      </c>
      <c r="D35" t="str">
        <v>verificar (web/rffm.es)</v>
      </c>
      <c r="E35" t="str">
        <v>verificar</v>
      </c>
      <c r="F35" t="str">
        <v>RFFM</v>
      </c>
      <c r="G35" t="str">
        <v>Nuevo</v>
      </c>
      <c r="H35" t="str">
        <v/>
      </c>
      <c r="I35" t="str">
        <v/>
      </c>
      <c r="J35" t="str">
        <v>0</v>
      </c>
      <c r="K35" t="str">
        <v/>
      </c>
      <c r="L35" t="str">
        <v>Enviar Email 1</v>
      </c>
      <c r="M35" t="str">
        <v/>
      </c>
      <c r="N35" t="str">
        <v/>
      </c>
    </row>
    <row r="36">
      <c r="A36" t="str">
        <v>AD Cala Pozuelo</v>
      </c>
      <c r="B36" t="str">
        <v>Pozuelo de Alarcón</v>
      </c>
      <c r="C36" t="str">
        <v>verificar</v>
      </c>
      <c r="D36" t="str">
        <v>verificar (web/rffm.es)</v>
      </c>
      <c r="E36" t="str">
        <v>verificar</v>
      </c>
      <c r="F36" t="str">
        <v>RFFM</v>
      </c>
      <c r="G36" t="str">
        <v>Nuevo</v>
      </c>
      <c r="H36" t="str">
        <v/>
      </c>
      <c r="I36" t="str">
        <v/>
      </c>
      <c r="J36" t="str">
        <v>0</v>
      </c>
      <c r="K36" t="str">
        <v/>
      </c>
      <c r="L36" t="str">
        <v>Enviar Email 1</v>
      </c>
      <c r="M36" t="str">
        <v/>
      </c>
      <c r="N36" t="str">
        <v/>
      </c>
    </row>
    <row r="37">
      <c r="A37" t="str">
        <v>EF Mentema Boadilla</v>
      </c>
      <c r="B37" t="str">
        <v>Boadilla del Monte</v>
      </c>
      <c r="C37" t="str">
        <v>facebook.com/efmentemaboadilla</v>
      </c>
      <c r="D37" t="str">
        <v>verificar (web/rffm.es)</v>
      </c>
      <c r="E37" t="str">
        <v>verificar</v>
      </c>
      <c r="F37" t="str">
        <v>RFFM</v>
      </c>
      <c r="G37" t="str">
        <v>Nuevo</v>
      </c>
      <c r="H37" t="str">
        <v/>
      </c>
      <c r="I37" t="str">
        <v/>
      </c>
      <c r="J37" t="str">
        <v>0</v>
      </c>
      <c r="K37" t="str">
        <v/>
      </c>
      <c r="L37" t="str">
        <v>Enviar Email 1</v>
      </c>
      <c r="M37" t="str">
        <v/>
      </c>
      <c r="N37" t="str">
        <v/>
      </c>
    </row>
    <row r="38">
      <c r="A38" t="str">
        <v>CD Nuevo Boadilla</v>
      </c>
      <c r="B38" t="str">
        <v>Boadilla del Monte</v>
      </c>
      <c r="C38" t="str">
        <v>verificar</v>
      </c>
      <c r="D38" t="str">
        <v>verificar (web/rffm.es)</v>
      </c>
      <c r="E38" t="str">
        <v>verificar</v>
      </c>
      <c r="F38" t="str">
        <v>RFFM</v>
      </c>
      <c r="G38" t="str">
        <v>Nuevo</v>
      </c>
      <c r="H38" t="str">
        <v/>
      </c>
      <c r="I38" t="str">
        <v/>
      </c>
      <c r="J38" t="str">
        <v>0</v>
      </c>
      <c r="K38" t="str">
        <v/>
      </c>
      <c r="L38" t="str">
        <v>Enviar Email 1</v>
      </c>
      <c r="M38" t="str">
        <v/>
      </c>
      <c r="N38" t="str">
        <v/>
      </c>
    </row>
    <row r="39">
      <c r="A39" t="str">
        <v>Las Rozas CF</v>
      </c>
      <c r="B39" t="str">
        <v>Las Rozas</v>
      </c>
      <c r="C39" t="str">
        <v>verificar</v>
      </c>
      <c r="D39" t="str">
        <v>verificar (web/rffm.es)</v>
      </c>
      <c r="E39" t="str">
        <v>verificar</v>
      </c>
      <c r="F39" t="str">
        <v>RFFM</v>
      </c>
      <c r="G39" t="str">
        <v>Nuevo</v>
      </c>
      <c r="H39" t="str">
        <v/>
      </c>
      <c r="I39" t="str">
        <v/>
      </c>
      <c r="J39" t="str">
        <v>0</v>
      </c>
      <c r="K39" t="str">
        <v/>
      </c>
      <c r="L39" t="str">
        <v>Enviar Email 1</v>
      </c>
      <c r="M39" t="str">
        <v/>
      </c>
      <c r="N39" t="str">
        <v/>
      </c>
    </row>
    <row r="40">
      <c r="A40" t="str">
        <v>CD Majadahonda</v>
      </c>
      <c r="B40" t="str">
        <v>Majadahonda</v>
      </c>
      <c r="C40" t="str">
        <v>verificar</v>
      </c>
      <c r="D40" t="str">
        <v>verificar (web/rffm.es)</v>
      </c>
      <c r="E40" t="str">
        <v>verificar</v>
      </c>
      <c r="F40" t="str">
        <v>RFFM</v>
      </c>
      <c r="G40" t="str">
        <v>Nuevo</v>
      </c>
      <c r="H40" t="str">
        <v/>
      </c>
      <c r="I40" t="str">
        <v/>
      </c>
      <c r="J40" t="str">
        <v>0</v>
      </c>
      <c r="K40" t="str">
        <v/>
      </c>
      <c r="L40" t="str">
        <v>Enviar Email 1</v>
      </c>
      <c r="M40" t="str">
        <v/>
      </c>
      <c r="N40" t="str">
        <v/>
      </c>
    </row>
    <row r="41">
      <c r="A41" t="str">
        <v>AD Villaviciosa de Odón - Amistad</v>
      </c>
      <c r="B41" t="str">
        <v>Villaviciosa de Odón</v>
      </c>
      <c r="C41" t="str">
        <v>verificar</v>
      </c>
      <c r="D41" t="str">
        <v>verificar (web/rffm.es)</v>
      </c>
      <c r="E41" t="str">
        <v>verificar</v>
      </c>
      <c r="F41" t="str">
        <v>RFFM</v>
      </c>
      <c r="G41" t="str">
        <v>Nuevo</v>
      </c>
      <c r="H41" t="str">
        <v/>
      </c>
      <c r="I41" t="str">
        <v/>
      </c>
      <c r="J41" t="str">
        <v>0</v>
      </c>
      <c r="K41" t="str">
        <v/>
      </c>
      <c r="L41" t="str">
        <v>Enviar Email 1</v>
      </c>
      <c r="M41" t="str">
        <v/>
      </c>
      <c r="N41" t="str">
        <v/>
      </c>
    </row>
    <row r="42">
      <c r="A42" t="str">
        <v>CD Sitio de Aranjuez</v>
      </c>
      <c r="B42" t="str">
        <v>Aranjuez</v>
      </c>
      <c r="C42" t="str">
        <v>verificar</v>
      </c>
      <c r="D42" t="str">
        <v>verificar (web/rffm.es)</v>
      </c>
      <c r="E42" t="str">
        <v>verificar</v>
      </c>
      <c r="F42" t="str">
        <v>RFFM</v>
      </c>
      <c r="G42" t="str">
        <v>Nuevo</v>
      </c>
      <c r="H42" t="str">
        <v/>
      </c>
      <c r="I42" t="str">
        <v/>
      </c>
      <c r="J42" t="str">
        <v>0</v>
      </c>
      <c r="K42" t="str">
        <v/>
      </c>
      <c r="L42" t="str">
        <v>Enviar Email 1</v>
      </c>
      <c r="M42" t="str">
        <v/>
      </c>
      <c r="N42" t="str">
        <v/>
      </c>
    </row>
    <row r="43">
      <c r="A43" t="str">
        <v>Real Aranjuez CF</v>
      </c>
      <c r="B43" t="str">
        <v>Aranjuez</v>
      </c>
      <c r="C43" t="str">
        <v>verificar</v>
      </c>
      <c r="D43" t="str">
        <v>verificar (web/rffm.es)</v>
      </c>
      <c r="E43" t="str">
        <v>verificar</v>
      </c>
      <c r="F43" t="str">
        <v>RFFM</v>
      </c>
      <c r="G43" t="str">
        <v>Nuevo</v>
      </c>
      <c r="H43" t="str">
        <v/>
      </c>
      <c r="I43" t="str">
        <v/>
      </c>
      <c r="J43" t="str">
        <v>0</v>
      </c>
      <c r="K43" t="str">
        <v/>
      </c>
      <c r="L43" t="str">
        <v>Enviar Email 1</v>
      </c>
      <c r="M43" t="str">
        <v/>
      </c>
      <c r="N43" t="str">
        <v/>
      </c>
    </row>
    <row r="44">
      <c r="A44" t="str">
        <v>CDM Arroyomolinos</v>
      </c>
      <c r="B44" t="str">
        <v>Arroyomolinos</v>
      </c>
      <c r="C44" t="str">
        <v>verificar</v>
      </c>
      <c r="D44" t="str">
        <v>verificar (web/rffm.es)</v>
      </c>
      <c r="E44" t="str">
        <v>verificar</v>
      </c>
      <c r="F44" t="str">
        <v>RFFM</v>
      </c>
      <c r="G44" t="str">
        <v>Nuevo</v>
      </c>
      <c r="H44" t="str">
        <v/>
      </c>
      <c r="I44" t="str">
        <v/>
      </c>
      <c r="J44" t="str">
        <v>0</v>
      </c>
      <c r="K44" t="str">
        <v/>
      </c>
      <c r="L44" t="str">
        <v>Enviar Email 1</v>
      </c>
      <c r="M44" t="str">
        <v/>
      </c>
      <c r="N44" t="str">
        <v/>
      </c>
    </row>
    <row r="45">
      <c r="A45" t="str">
        <v>CDA Navalcarnero</v>
      </c>
      <c r="B45" t="str">
        <v>Navalcarnero</v>
      </c>
      <c r="C45" t="str">
        <v>verificar</v>
      </c>
      <c r="D45" t="str">
        <v>verificar (web/rffm.es)</v>
      </c>
      <c r="E45" t="str">
        <v>verificar</v>
      </c>
      <c r="F45" t="str">
        <v>RFFM</v>
      </c>
      <c r="G45" t="str">
        <v>Nuevo</v>
      </c>
      <c r="H45" t="str">
        <v/>
      </c>
      <c r="I45" t="str">
        <v/>
      </c>
      <c r="J45" t="str">
        <v>0</v>
      </c>
      <c r="K45" t="str">
        <v/>
      </c>
      <c r="L45" t="str">
        <v>Enviar Email 1</v>
      </c>
      <c r="M45" t="str">
        <v/>
      </c>
      <c r="N45" t="str">
        <v/>
      </c>
    </row>
    <row r="46">
      <c r="A46" t="str">
        <v>EF San Martín de la Vega</v>
      </c>
      <c r="B46" t="str">
        <v>San Martín de la Vega</v>
      </c>
      <c r="C46" t="str">
        <v>verificar</v>
      </c>
      <c r="D46" t="str">
        <v>verificar (web/rffm.es)</v>
      </c>
      <c r="E46" t="str">
        <v>verificar</v>
      </c>
      <c r="F46" t="str">
        <v>RFFM</v>
      </c>
      <c r="G46" t="str">
        <v>Nuevo</v>
      </c>
      <c r="H46" t="str">
        <v/>
      </c>
      <c r="I46" t="str">
        <v/>
      </c>
      <c r="J46" t="str">
        <v>0</v>
      </c>
      <c r="K46" t="str">
        <v/>
      </c>
      <c r="L46" t="str">
        <v>Enviar Email 1</v>
      </c>
      <c r="M46" t="str">
        <v/>
      </c>
      <c r="N46" t="str">
        <v/>
      </c>
    </row>
    <row r="47">
      <c r="A47" t="str">
        <v>CD Arroyo</v>
      </c>
      <c r="B47" t="str">
        <v>Humanes de Madrid</v>
      </c>
      <c r="C47" t="str">
        <v>verificar</v>
      </c>
      <c r="D47" t="str">
        <v>verificar (web/rffm.es)</v>
      </c>
      <c r="E47" t="str">
        <v>verificar</v>
      </c>
      <c r="F47" t="str">
        <v>RFFM</v>
      </c>
      <c r="G47" t="str">
        <v>Nuevo</v>
      </c>
      <c r="H47" t="str">
        <v/>
      </c>
      <c r="I47" t="str">
        <v/>
      </c>
      <c r="J47" t="str">
        <v>0</v>
      </c>
      <c r="K47" t="str">
        <v/>
      </c>
      <c r="L47" t="str">
        <v>Enviar Email 1</v>
      </c>
      <c r="M47" t="str">
        <v/>
      </c>
      <c r="N47" t="str">
        <v/>
      </c>
    </row>
  </sheetData>
  <autoFilter ref="A1:N47"/>
  <ignoredErrors>
    <ignoredError numberStoredAsText="1" sqref="A1:N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cols>
    <col min="1" max="1" width="26.83203125" customWidth="1"/>
    <col min="2" max="2" width="12.83203125" customWidth="1"/>
  </cols>
  <sheetData>
    <row r="1">
      <c r="A1" t="str">
        <v>EMBUDO DE VENTAS</v>
      </c>
      <c r="B1" t="str">
        <v/>
      </c>
    </row>
    <row r="2">
      <c r="A2" t="str">
        <v/>
      </c>
      <c r="B2" t="str">
        <v/>
      </c>
    </row>
    <row r="3">
      <c r="A3" t="str">
        <v>Nuevo</v>
      </c>
      <c r="B3">
        <f>COUNTIF(Seguimiento!G:G,"Nuevo")</f>
        <v>0</v>
      </c>
    </row>
    <row r="4">
      <c r="A4" t="str">
        <v>Email 1</v>
      </c>
      <c r="B4">
        <f>COUNTIF(Seguimiento!G:G,"Email 1")</f>
        <v>0</v>
      </c>
    </row>
    <row r="5">
      <c r="A5" t="str">
        <v>Email 2</v>
      </c>
      <c r="B5">
        <f>COUNTIF(Seguimiento!G:G,"Email 2")</f>
        <v>0</v>
      </c>
    </row>
    <row r="6">
      <c r="A6" t="str">
        <v>Email 3</v>
      </c>
      <c r="B6">
        <f>COUNTIF(Seguimiento!G:G,"Email 3")</f>
        <v>0</v>
      </c>
    </row>
    <row r="7">
      <c r="A7" t="str">
        <v>Respondió</v>
      </c>
      <c r="B7">
        <f>COUNTIF(Seguimiento!G:G,"Respondió")</f>
        <v>0</v>
      </c>
    </row>
    <row r="8">
      <c r="A8" t="str">
        <v>Demo agendada</v>
      </c>
      <c r="B8">
        <f>COUNTIF(Seguimiento!G:G,"Demo agendada")</f>
        <v>0</v>
      </c>
    </row>
    <row r="9">
      <c r="A9" t="str">
        <v>En prueba</v>
      </c>
      <c r="B9">
        <f>COUNTIF(Seguimiento!G:G,"En prueba")</f>
        <v>0</v>
      </c>
    </row>
    <row r="10">
      <c r="A10" t="str">
        <v>Cliente</v>
      </c>
      <c r="B10">
        <f>COUNTIF(Seguimiento!G:G,"Cliente")</f>
        <v>0</v>
      </c>
    </row>
    <row r="11">
      <c r="A11" t="str">
        <v>Descartado</v>
      </c>
      <c r="B11">
        <f>COUNTIF(Seguimiento!G:G,"Descartado")</f>
        <v>0</v>
      </c>
    </row>
    <row r="12">
      <c r="A12" t="str">
        <v/>
      </c>
      <c r="B12" t="str">
        <v/>
      </c>
    </row>
    <row r="13">
      <c r="A13" t="str">
        <v>Total contactados</v>
      </c>
      <c r="B13">
        <f>COUNTA(Seguimiento!A2:A1000)</f>
        <v>0</v>
      </c>
    </row>
    <row r="14">
      <c r="A14" t="str">
        <v>Demos agendadas</v>
      </c>
      <c r="B14">
        <f>COUNTIF(Seguimiento!G:G,"Demo agendada")+COUNTIF(Seguimiento!G:G,"En prueba")+COUNTIF(Seguimiento!G:G,"Cliente")</f>
        <v>0</v>
      </c>
    </row>
    <row r="15">
      <c r="A15" t="str">
        <v>Clientes</v>
      </c>
      <c r="B15">
        <f>COUNTIF(Seguimiento!G:G,"Cliente")</f>
        <v>0</v>
      </c>
    </row>
    <row r="16">
      <c r="A16" t="str">
        <v/>
      </c>
      <c r="B16" t="str">
        <v/>
      </c>
    </row>
    <row r="17">
      <c r="A17" t="str">
        <v>Tasa contacto→demo</v>
      </c>
      <c r="B17" s="1">
        <f>IF(B13=0,0,(B14)/B13)</f>
        <v>0</v>
      </c>
    </row>
    <row r="18">
      <c r="A18" t="str">
        <v>Tasa demo→cliente</v>
      </c>
      <c r="B18" s="1">
        <f>IF(B14=0,0,B15/B14)</f>
        <v>0</v>
      </c>
    </row>
    <row r="19">
      <c r="A19" t="str">
        <v/>
      </c>
      <c r="B19" t="str">
        <v/>
      </c>
    </row>
    <row r="20">
      <c r="A20" t="str">
        <v>OBJETIVO</v>
      </c>
      <c r="B20">
        <v>20</v>
      </c>
    </row>
    <row r="21">
      <c r="A21" t="str">
        <v>Faltan para objetivo</v>
      </c>
      <c r="B21">
        <f>MAX(0,B20-B15)</f>
        <v>0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24"/>
  <sheetViews>
    <sheetView workbookViewId="0"/>
  </sheetViews>
  <cols>
    <col min="1" max="1" width="95.83203125" customWidth="1"/>
  </cols>
  <sheetData>
    <row r="1">
      <c r="A1" t="str">
        <v>CÓMO USAR ESTE SEGUIMIENTO</v>
      </c>
    </row>
    <row r="2">
      <c r="A2" t="str">
        <v/>
      </c>
    </row>
    <row r="3">
      <c r="A3" t="str">
        <v>1) Sube tu lista de clubes a la hoja "Seguimiento" (una fila por club).</v>
      </c>
    </row>
    <row r="4">
      <c r="A4" t="str">
        <v>2) Cada vez que envías un email, actualiza la columna "Estado" y "Fecha último contacto".</v>
      </c>
    </row>
    <row r="5">
      <c r="A5" t="str">
        <v>3) La hoja "Resumen" calcula el embudo automáticamente.</v>
      </c>
    </row>
    <row r="6">
      <c r="A6" t="str">
        <v/>
      </c>
    </row>
    <row r="7">
      <c r="A7" t="str">
        <v>CADENCIA DE EMAILS (3 toques, paran al responder):</v>
      </c>
    </row>
    <row r="8">
      <c r="A8" t="str">
        <v xml:space="preserve">  · Día 0  → Email 1 (presentación + caso Ciudad de Getafe)</v>
      </c>
    </row>
    <row r="9">
      <c r="A9" t="str">
        <v xml:space="preserve">  · Día 3  → Email 2 (recordatorio corto + beneficio concreto)</v>
      </c>
    </row>
    <row r="10">
      <c r="A10" t="str">
        <v xml:space="preserve">  · Día 7  → Email 3 (último toque + oferta de demo de 20 min)</v>
      </c>
    </row>
    <row r="11">
      <c r="A11" t="str">
        <v/>
      </c>
    </row>
    <row r="12">
      <c r="A12" t="str">
        <v>ESTADOS POSIBLES (cópialos como desplegable):</v>
      </c>
    </row>
    <row r="13">
      <c r="A13" t="str">
        <v xml:space="preserve">  Nuevo  ·  Email 1  ·  Email 2  ·  Email 3  ·  Respondió  ·  Demo agendada  ·  En prueba  ·  Cliente  ·  Descartado</v>
      </c>
    </row>
    <row r="14">
      <c r="A14" t="str">
        <v/>
      </c>
    </row>
    <row r="15">
      <c r="A15" t="str">
        <v>AÑADIR DESPLEGABLE DE COLOR EN GOOGLE SHEETS (30 seg):</v>
      </c>
    </row>
    <row r="16">
      <c r="A16" t="str">
        <v xml:space="preserve">  a) Selecciona la columna G (Estado).</v>
      </c>
    </row>
    <row r="17">
      <c r="A17" t="str">
        <v xml:space="preserve">  b) Menú: Datos → Validación de datos → Añadir regla → "Lista de elementos".</v>
      </c>
    </row>
    <row r="18">
      <c r="A18" t="str">
        <v xml:space="preserve">  c) Pega los estados de arriba separados por comas.</v>
      </c>
    </row>
    <row r="19">
      <c r="A19" t="str">
        <v xml:space="preserve">  d) Activa "Mostrar como chips de colores" para ver el embudo de un vistazo.</v>
      </c>
    </row>
    <row r="20">
      <c r="A20" t="str">
        <v/>
      </c>
    </row>
    <row r="21">
      <c r="A21" t="str">
        <v>RUTINA SEMANAL (15 min/día):</v>
      </c>
    </row>
    <row r="22">
      <c r="A22" t="str">
        <v xml:space="preserve">  · Lunes: cargar 100 clubes nuevos + enviar Email 1.</v>
      </c>
    </row>
    <row r="23">
      <c r="A23" t="str">
        <v xml:space="preserve">  · Mar-Vie: enviar seguimientos (Email 2 y 3) según fechas.</v>
      </c>
    </row>
    <row r="24">
      <c r="A24" t="str">
        <v xml:space="preserve">  · Responder en &lt;2h a cualquiera que conteste → agendar demo.</v>
      </c>
    </row>
  </sheetData>
  <ignoredErrors>
    <ignoredError numberStoredAsText="1" sqref="A1:A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24"/>
  <sheetViews>
    <sheetView workbookViewId="0"/>
  </sheetViews>
  <cols>
    <col min="1" max="1" width="110.83203125" customWidth="1"/>
  </cols>
  <sheetData>
    <row r="1">
      <c r="A1" t="str">
        <v>DE DÓNDE SACAR 100-200 CLUBES REALES (CON WEB, EMAIL Y TELÉFONO)</v>
      </c>
    </row>
    <row r="2">
      <c r="A2" t="str">
        <v/>
      </c>
    </row>
    <row r="3">
      <c r="A3" t="str">
        <v>⚠️ No inventes correos ni teléfonos: rebotan, queman tu dominio y es spam. Usa solo datos verificados de estas fuentes.</v>
      </c>
    </row>
    <row r="4">
      <c r="A4" t="str">
        <v/>
      </c>
    </row>
    <row r="5">
      <c r="A5" t="str">
        <v>1) DIRECTORIOS DE FEDERACIONES (la mejor fuente — clubes federados con contacto)</v>
      </c>
    </row>
    <row r="6">
      <c r="A6" t="str">
        <v xml:space="preserve">   · Madrid (RFFM):  https://www.rffm.es/competiciones/directorio-de-clubs</v>
      </c>
    </row>
    <row r="7">
      <c r="A7" t="str">
        <v xml:space="preserve">   · Cada comunidad tiene su federación con su "directorio de clubes". Busca en Google:</v>
      </c>
    </row>
    <row r="8">
      <c r="A8" t="str">
        <v xml:space="preserve">        "directorio de clubes" + [tu federación]  (ej: FCF Cataluña, RFAF Andalucía, FFCV Valencia, FGF Galicia...)</v>
      </c>
    </row>
    <row r="9">
      <c r="A9" t="str">
        <v xml:space="preserve">   · Listado de TODOS los clubes RFFM (escudos):  https://www.futbol-regional.es/escudos.php?fed=25</v>
      </c>
    </row>
    <row r="10">
      <c r="A10" t="str">
        <v xml:space="preserve">   · Páginas Amarillas (clubes deportivos Madrid):  https://www.paginasamarillas.es/a/clubes-deportivos/madrid/</v>
      </c>
    </row>
    <row r="11">
      <c r="A11" t="str">
        <v/>
      </c>
    </row>
    <row r="12">
      <c r="A12" t="str">
        <v>2) GOOGLE MAPS (rápido y con teléfono + web públicos)</v>
      </c>
    </row>
    <row r="13">
      <c r="A13" t="str">
        <v xml:space="preserve">   · Busca: "club de fútbol" + provincia/ciudad  (ej: "club de futbol Getafe").</v>
      </c>
    </row>
    <row r="14">
      <c r="A14" t="str">
        <v xml:space="preserve">   · Cada ficha trae nombre, web y teléfono. El email suele estar en la web del club (sección Contacto).</v>
      </c>
    </row>
    <row r="15">
      <c r="A15" t="str">
        <v xml:space="preserve">   · Para exportar en bloque a CSV usa la extensión gratis de Chrome "Instant Data Scraper".</v>
      </c>
    </row>
    <row r="16">
      <c r="A16" t="str">
        <v/>
      </c>
    </row>
    <row r="17">
      <c r="A17" t="str">
        <v>3) RFEF / FUTBOL-NET</v>
      </c>
    </row>
    <row r="18">
      <c r="A18" t="str">
        <v xml:space="preserve">   · Las webs de competición listan los clubes de cada liga; entra a cada club para su contacto.</v>
      </c>
    </row>
    <row r="19">
      <c r="A19" t="str">
        <v/>
      </c>
    </row>
    <row r="20">
      <c r="A20" t="str">
        <v>FLUJO RECOMENDADO (≈1 hora para 100-200 clubes):</v>
      </c>
    </row>
    <row r="21">
      <c r="A21" t="str">
        <v xml:space="preserve">   a) Abre el directorio de tu federación + Google Maps de tu provincia.</v>
      </c>
    </row>
    <row r="22">
      <c r="A22" t="str">
        <v xml:space="preserve">   b) Copia a la hoja "Seguimiento": nombre, ubicación, web, email y teléfono (verificados).</v>
      </c>
    </row>
    <row r="23">
      <c r="A23" t="str">
        <v xml:space="preserve">   c) Prioriza clubes de 6-20 equipos (los que más sufren el papeleo y mejor pagan).</v>
      </c>
    </row>
    <row r="24">
      <c r="A24" t="str">
        <v xml:space="preserve">   d) Cuando tengas ~100, arranca la secuencia de emails (ver hoja "Cómo usar").</v>
      </c>
    </row>
  </sheetData>
  <ignoredErrors>
    <ignoredError numberStoredAsText="1" sqref="A1:A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Seguimiento</vt:lpstr>
      <vt:lpstr>Resumen</vt:lpstr>
      <vt:lpstr>Cómo usar</vt:lpstr>
      <vt:lpstr>Fuentes de clubes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